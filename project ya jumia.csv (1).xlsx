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B8ED7B61-10BE-4567-832C-C2086E1C1785}" xr6:coauthVersionLast="47" xr6:coauthVersionMax="47" xr10:uidLastSave="{00000000-0000-0000-0000-000000000000}"/>
  <bookViews>
    <workbookView xWindow="-110" yWindow="-110" windowWidth="19420" windowHeight="10420" firstSheet="8" activeTab="12" xr2:uid="{536562D0-DA54-4340-9BF0-E0F395A6B922}"/>
  </bookViews>
  <sheets>
    <sheet name="rel between discount and review" sheetId="4" r:id="rId1"/>
    <sheet name="discount and rating" sheetId="8" r:id="rId2"/>
    <sheet name="rela betw rating and review" sheetId="9" r:id="rId3"/>
    <sheet name="dicount to product" sheetId="11" r:id="rId4"/>
    <sheet name="product and review" sheetId="12" r:id="rId5"/>
    <sheet name="5 highest rated" sheetId="16" r:id="rId6"/>
    <sheet name="5 lowest rated" sheetId="18" r:id="rId7"/>
    <sheet name="comparison between high ,low di" sheetId="19" r:id="rId8"/>
    <sheet name="Dashboard" sheetId="20" r:id="rId9"/>
    <sheet name="rating and review" sheetId="22" r:id="rId10"/>
    <sheet name="Sheet8" sheetId="24" r:id="rId11"/>
    <sheet name="Sheet10" sheetId="26" r:id="rId12"/>
    <sheet name="Excel_jumia new " sheetId="1" r:id="rId13"/>
  </sheets>
  <definedNames>
    <definedName name="Slicer_Discount">#N/A</definedName>
    <definedName name="Slicer_ITEM_ID">#N/A</definedName>
    <definedName name="Slicer_Rating_out_of_5">#N/A</definedName>
    <definedName name="Slicer_Review">#N/A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7" i="1" l="1" a="1"/>
  <c r="J107" i="1" s="1"/>
  <c r="C112" i="1"/>
  <c r="C116" i="1" s="1"/>
  <c r="D111" i="1"/>
  <c r="C111" i="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c r="I15" i="1" a="1"/>
  <c r="I15" i="1" s="1"/>
  <c r="I16" i="1" a="1"/>
  <c r="I16" i="1" s="1"/>
  <c r="I17" i="1" a="1"/>
  <c r="I17" i="1" s="1"/>
  <c r="I18" i="1" a="1"/>
  <c r="I18" i="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c r="I51" i="1" a="1"/>
  <c r="I51" i="1" s="1"/>
  <c r="I52" i="1" a="1"/>
  <c r="I52" i="1" s="1"/>
  <c r="I53" i="1" a="1"/>
  <c r="I53" i="1" s="1"/>
  <c r="I54" i="1" a="1"/>
  <c r="I54" i="1"/>
  <c r="I55" i="1" a="1"/>
  <c r="I55" i="1" s="1"/>
  <c r="I56" i="1" a="1"/>
  <c r="I56" i="1" s="1"/>
  <c r="I57" i="1" a="1"/>
  <c r="I57" i="1" s="1"/>
  <c r="I58" i="1" a="1"/>
  <c r="I58" i="1" s="1"/>
  <c r="I59" i="1" a="1"/>
  <c r="I59" i="1" s="1"/>
  <c r="I60" i="1" a="1"/>
  <c r="I60" i="1" s="1"/>
  <c r="I61" i="1" a="1"/>
  <c r="I61" i="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2" i="1" a="1"/>
  <c r="I2"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E3" i="1"/>
  <c r="J3" i="1" s="1" a="1"/>
  <c r="J3" i="1" s="1"/>
  <c r="E4" i="1"/>
  <c r="J4" i="1" s="1" a="1"/>
  <c r="J4" i="1" s="1"/>
  <c r="E5" i="1"/>
  <c r="J5" i="1" s="1" a="1"/>
  <c r="J5" i="1" s="1"/>
  <c r="E6" i="1"/>
  <c r="J6" i="1" s="1" a="1"/>
  <c r="J6" i="1" s="1"/>
  <c r="E7" i="1"/>
  <c r="J7" i="1" s="1" a="1"/>
  <c r="J7" i="1" s="1"/>
  <c r="E8" i="1"/>
  <c r="J8" i="1" s="1" a="1"/>
  <c r="J8" i="1" s="1"/>
  <c r="E9" i="1"/>
  <c r="J9" i="1" s="1" a="1"/>
  <c r="J9" i="1" s="1"/>
  <c r="E10" i="1"/>
  <c r="J10" i="1" s="1" a="1"/>
  <c r="J10" i="1" s="1"/>
  <c r="E11" i="1"/>
  <c r="J11" i="1" s="1" a="1"/>
  <c r="J11" i="1" s="1"/>
  <c r="E12" i="1"/>
  <c r="J12" i="1" s="1" a="1"/>
  <c r="J12" i="1" s="1"/>
  <c r="E13" i="1"/>
  <c r="J13" i="1" s="1" a="1"/>
  <c r="J13" i="1" s="1"/>
  <c r="E14" i="1"/>
  <c r="J14" i="1" s="1" a="1"/>
  <c r="J14" i="1" s="1"/>
  <c r="E15" i="1"/>
  <c r="J15" i="1" s="1" a="1"/>
  <c r="J15" i="1" s="1"/>
  <c r="E16" i="1"/>
  <c r="J16" i="1" s="1" a="1"/>
  <c r="J16" i="1" s="1"/>
  <c r="E17" i="1"/>
  <c r="J17" i="1" s="1" a="1"/>
  <c r="J17" i="1" s="1"/>
  <c r="E18" i="1"/>
  <c r="J18" i="1" s="1" a="1"/>
  <c r="J18" i="1" s="1"/>
  <c r="E19" i="1"/>
  <c r="J19" i="1" s="1" a="1"/>
  <c r="J19" i="1" s="1"/>
  <c r="E20" i="1"/>
  <c r="J20" i="1" s="1" a="1"/>
  <c r="J20" i="1" s="1"/>
  <c r="E21" i="1"/>
  <c r="J21" i="1" s="1" a="1"/>
  <c r="J21" i="1" s="1"/>
  <c r="E22" i="1"/>
  <c r="J22" i="1" s="1" a="1"/>
  <c r="J22" i="1" s="1"/>
  <c r="E23" i="1"/>
  <c r="J23" i="1" s="1" a="1"/>
  <c r="J23" i="1" s="1"/>
  <c r="E24" i="1"/>
  <c r="J24" i="1" s="1" a="1"/>
  <c r="J24" i="1" s="1"/>
  <c r="E25" i="1"/>
  <c r="J25" i="1" s="1" a="1"/>
  <c r="J25" i="1" s="1"/>
  <c r="E26" i="1"/>
  <c r="J26" i="1" s="1" a="1"/>
  <c r="J26" i="1" s="1"/>
  <c r="E27" i="1"/>
  <c r="J27" i="1" s="1" a="1"/>
  <c r="J27" i="1" s="1"/>
  <c r="E28" i="1"/>
  <c r="J28" i="1" s="1" a="1"/>
  <c r="J28" i="1" s="1"/>
  <c r="E29" i="1"/>
  <c r="J29" i="1" s="1" a="1"/>
  <c r="J29" i="1" s="1"/>
  <c r="E30" i="1"/>
  <c r="J30" i="1" s="1" a="1"/>
  <c r="J30" i="1" s="1"/>
  <c r="E31" i="1"/>
  <c r="J31" i="1" s="1" a="1"/>
  <c r="J31" i="1" s="1"/>
  <c r="E32" i="1"/>
  <c r="J32" i="1" s="1" a="1"/>
  <c r="J32" i="1" s="1"/>
  <c r="E33" i="1"/>
  <c r="J33" i="1" s="1" a="1"/>
  <c r="J33" i="1" s="1"/>
  <c r="E34" i="1"/>
  <c r="J34" i="1" s="1" a="1"/>
  <c r="J34" i="1" s="1"/>
  <c r="E35" i="1"/>
  <c r="J35" i="1" s="1" a="1"/>
  <c r="J35" i="1" s="1"/>
  <c r="E36" i="1"/>
  <c r="J36" i="1" s="1" a="1"/>
  <c r="J36" i="1" s="1"/>
  <c r="E37" i="1"/>
  <c r="J37" i="1" s="1" a="1"/>
  <c r="J37" i="1" s="1"/>
  <c r="E38" i="1"/>
  <c r="J38" i="1" s="1" a="1"/>
  <c r="J38" i="1" s="1"/>
  <c r="E39" i="1"/>
  <c r="J39" i="1" s="1" a="1"/>
  <c r="J39" i="1" s="1"/>
  <c r="E40" i="1"/>
  <c r="E41" i="1"/>
  <c r="J41" i="1" s="1" a="1"/>
  <c r="J41" i="1" s="1"/>
  <c r="E42" i="1"/>
  <c r="J42" i="1" s="1" a="1"/>
  <c r="J42" i="1" s="1"/>
  <c r="E43" i="1"/>
  <c r="J43" i="1" s="1" a="1"/>
  <c r="J43" i="1" s="1"/>
  <c r="E44" i="1"/>
  <c r="J44" i="1" s="1" a="1"/>
  <c r="J44" i="1" s="1"/>
  <c r="E45" i="1"/>
  <c r="J45" i="1" s="1" a="1"/>
  <c r="J45" i="1" s="1"/>
  <c r="E46" i="1"/>
  <c r="J46" i="1" s="1" a="1"/>
  <c r="J46" i="1" s="1"/>
  <c r="E47" i="1"/>
  <c r="J47" i="1" s="1" a="1"/>
  <c r="J47" i="1" s="1"/>
  <c r="E48" i="1"/>
  <c r="J48" i="1" s="1" a="1"/>
  <c r="J48" i="1" s="1"/>
  <c r="E49" i="1"/>
  <c r="J49" i="1" s="1" a="1"/>
  <c r="J49" i="1" s="1"/>
  <c r="E50" i="1"/>
  <c r="J50" i="1" s="1" a="1"/>
  <c r="J50" i="1" s="1"/>
  <c r="E51" i="1"/>
  <c r="J51" i="1" s="1" a="1"/>
  <c r="J51" i="1" s="1"/>
  <c r="E52" i="1"/>
  <c r="J52" i="1" s="1" a="1"/>
  <c r="J52" i="1" s="1"/>
  <c r="E53" i="1"/>
  <c r="J53" i="1" s="1" a="1"/>
  <c r="J53" i="1" s="1"/>
  <c r="E54" i="1"/>
  <c r="J54" i="1" s="1" a="1"/>
  <c r="J54" i="1" s="1"/>
  <c r="E55" i="1"/>
  <c r="J55" i="1" s="1" a="1"/>
  <c r="J55" i="1" s="1"/>
  <c r="E56" i="1"/>
  <c r="J56" i="1" s="1" a="1"/>
  <c r="J56" i="1" s="1"/>
  <c r="E57" i="1"/>
  <c r="J57" i="1" s="1" a="1"/>
  <c r="J57" i="1" s="1"/>
  <c r="E58" i="1"/>
  <c r="J58" i="1" s="1" a="1"/>
  <c r="J58" i="1" s="1"/>
  <c r="E59" i="1"/>
  <c r="J59" i="1" s="1" a="1"/>
  <c r="J59" i="1" s="1"/>
  <c r="E60" i="1"/>
  <c r="J60" i="1" s="1" a="1"/>
  <c r="J60" i="1" s="1"/>
  <c r="E61" i="1"/>
  <c r="J61" i="1" s="1" a="1"/>
  <c r="J61" i="1" s="1"/>
  <c r="E62" i="1"/>
  <c r="J62" i="1" s="1" a="1"/>
  <c r="J62" i="1" s="1"/>
  <c r="E63" i="1"/>
  <c r="J63" i="1" s="1" a="1"/>
  <c r="J63" i="1" s="1"/>
  <c r="E64" i="1"/>
  <c r="J64" i="1" s="1" a="1"/>
  <c r="J64" i="1" s="1"/>
  <c r="E65" i="1"/>
  <c r="J65" i="1" s="1" a="1"/>
  <c r="J65" i="1" s="1"/>
  <c r="E66" i="1"/>
  <c r="J66" i="1" s="1" a="1"/>
  <c r="J66" i="1" s="1"/>
  <c r="E67" i="1"/>
  <c r="J67" i="1" s="1" a="1"/>
  <c r="J67" i="1" s="1"/>
  <c r="E68" i="1"/>
  <c r="J68" i="1" s="1" a="1"/>
  <c r="J68" i="1" s="1"/>
  <c r="E69" i="1"/>
  <c r="J69" i="1" s="1" a="1"/>
  <c r="J69" i="1" s="1"/>
  <c r="E70" i="1"/>
  <c r="J70" i="1" s="1" a="1"/>
  <c r="J70" i="1" s="1"/>
  <c r="E71" i="1"/>
  <c r="J71" i="1" s="1" a="1"/>
  <c r="J71" i="1" s="1"/>
  <c r="E72" i="1"/>
  <c r="J72" i="1" s="1" a="1"/>
  <c r="J72" i="1" s="1"/>
  <c r="E73" i="1"/>
  <c r="J73" i="1" s="1" a="1"/>
  <c r="J73" i="1" s="1"/>
  <c r="E74" i="1"/>
  <c r="J74" i="1" s="1" a="1"/>
  <c r="J74" i="1" s="1"/>
  <c r="E75" i="1"/>
  <c r="J75" i="1" s="1" a="1"/>
  <c r="J75" i="1" s="1"/>
  <c r="E76" i="1"/>
  <c r="J76" i="1" s="1" a="1"/>
  <c r="J76" i="1" s="1"/>
  <c r="E77" i="1"/>
  <c r="J77" i="1" s="1" a="1"/>
  <c r="J77" i="1" s="1"/>
  <c r="E78" i="1"/>
  <c r="J78" i="1" s="1" a="1"/>
  <c r="J78" i="1" s="1"/>
  <c r="E79" i="1"/>
  <c r="J79" i="1" s="1" a="1"/>
  <c r="J79" i="1" s="1"/>
  <c r="E80" i="1"/>
  <c r="J80" i="1" s="1" a="1"/>
  <c r="J80" i="1" s="1"/>
  <c r="E81" i="1"/>
  <c r="J81" i="1" s="1" a="1"/>
  <c r="J81" i="1" s="1"/>
  <c r="E82" i="1"/>
  <c r="J82" i="1" s="1" a="1"/>
  <c r="J82" i="1" s="1"/>
  <c r="E83" i="1"/>
  <c r="J83" i="1" s="1" a="1"/>
  <c r="J83" i="1" s="1"/>
  <c r="E84" i="1"/>
  <c r="J84" i="1" s="1" a="1"/>
  <c r="J84" i="1" s="1"/>
  <c r="E85" i="1"/>
  <c r="J85" i="1" s="1" a="1"/>
  <c r="J85" i="1" s="1"/>
  <c r="E86" i="1"/>
  <c r="J86" i="1" s="1" a="1"/>
  <c r="J86" i="1" s="1"/>
  <c r="E87" i="1"/>
  <c r="J87" i="1" s="1" a="1"/>
  <c r="J87" i="1" s="1"/>
  <c r="E88" i="1"/>
  <c r="J88" i="1" s="1" a="1"/>
  <c r="J88" i="1" s="1"/>
  <c r="E89" i="1"/>
  <c r="J89" i="1" s="1" a="1"/>
  <c r="J89" i="1" s="1"/>
  <c r="E90" i="1"/>
  <c r="J90" i="1" s="1" a="1"/>
  <c r="J90" i="1" s="1"/>
  <c r="E91" i="1"/>
  <c r="J91" i="1" s="1" a="1"/>
  <c r="J91" i="1" s="1"/>
  <c r="E92" i="1"/>
  <c r="J92" i="1" s="1" a="1"/>
  <c r="J92" i="1" s="1"/>
  <c r="E93" i="1"/>
  <c r="J93" i="1" s="1" a="1"/>
  <c r="J93" i="1" s="1"/>
  <c r="E94" i="1"/>
  <c r="J94" i="1" s="1" a="1"/>
  <c r="J94" i="1" s="1"/>
  <c r="E95" i="1"/>
  <c r="J95" i="1" s="1" a="1"/>
  <c r="J95" i="1" s="1"/>
  <c r="E96" i="1"/>
  <c r="J96" i="1" s="1" a="1"/>
  <c r="J96" i="1" s="1"/>
  <c r="E97" i="1"/>
  <c r="J97" i="1" s="1" a="1"/>
  <c r="J97" i="1" s="1"/>
  <c r="E98" i="1"/>
  <c r="J98" i="1" s="1" a="1"/>
  <c r="J98" i="1" s="1"/>
  <c r="E99" i="1"/>
  <c r="J99" i="1" s="1" a="1"/>
  <c r="J99" i="1" s="1"/>
  <c r="E100" i="1"/>
  <c r="J100" i="1" s="1" a="1"/>
  <c r="J100" i="1" s="1"/>
  <c r="E101" i="1"/>
  <c r="J101" i="1" s="1" a="1"/>
  <c r="J101" i="1" s="1"/>
  <c r="E102" i="1"/>
  <c r="J102" i="1" s="1" a="1"/>
  <c r="J102" i="1" s="1"/>
  <c r="E103" i="1"/>
  <c r="J103" i="1" s="1" a="1"/>
  <c r="J103" i="1" s="1"/>
  <c r="E104" i="1"/>
  <c r="J104" i="1" s="1" a="1"/>
  <c r="J104" i="1" s="1"/>
  <c r="E105" i="1"/>
  <c r="J105" i="1" s="1" a="1"/>
  <c r="J105" i="1" s="1"/>
  <c r="E106" i="1"/>
  <c r="J106" i="1" s="1" a="1"/>
  <c r="J106" i="1" s="1"/>
  <c r="E107" i="1"/>
  <c r="E108" i="1"/>
  <c r="J108" i="1" s="1" a="1"/>
  <c r="J108" i="1" s="1"/>
  <c r="E109" i="1"/>
  <c r="J109" i="1" s="1" a="1"/>
  <c r="J109" i="1" s="1"/>
  <c r="E110" i="1"/>
  <c r="J110" i="1" s="1" a="1"/>
  <c r="J110" i="1" s="1"/>
  <c r="E2" i="1"/>
  <c r="J2" i="1" s="1" a="1"/>
  <c r="J2" i="1" s="1"/>
  <c r="E111" i="1" l="1"/>
  <c r="J40" i="1" a="1"/>
  <c r="J4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<sst xmlns="http://schemas.openxmlformats.org/spreadsheetml/2006/main" count="439" uniqueCount="136">
  <si>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</si>
  <si>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</si>
  <si>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</si>
  <si>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</si>
  <si>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</si>
  <si>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</si>
  <si>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</si>
  <si>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</si>
  <si>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</si>
  <si>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</si>
  <si>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</si>
  <si>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</si>
  <si>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</si>
  <si>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</si>
  <si>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</si>
  <si>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</si>
  <si>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</si>
  <si>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</si>
  <si>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</si>
  <si>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</si>
  <si>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</si>
  <si>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</si>
  <si>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</si>
  <si>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</si>
  <si>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</si>
  <si>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</si>
  <si>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</si>
  <si>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</si>
  <si>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</si>
  <si>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</si>
  <si>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</si>
  <si>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</si>
  <si>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</si>
  <si>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</si>
  <si>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</si>
  <si>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</si>
  <si>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</si>
  <si>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</si>
  <si>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</si>
  <si>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</si>
  <si>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</si>
  <si>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</si>
  <si>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</si>
  <si>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</si>
  <si>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</si>
  <si>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</si>
  <si>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</si>
  <si>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</si>
  <si>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</si>
  <si>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</si>
  <si>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</si>
  <si>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</si>
  <si>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</si>
  <si>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</si>
  <si>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</si>
  <si>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</si>
  <si>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</si>
  <si>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</si>
  <si>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</si>
  <si>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</si>
  <si>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</si>
  <si>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</si>
  <si>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</si>
  <si>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</si>
  <si>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</si>
  <si>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</si>
  <si>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</si>
  <si>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</si>
  <si>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</si>
  <si>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</si>
  <si>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</si>
  <si>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</si>
  <si>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</si>
  <si>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</si>
  <si>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</si>
  <si>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</si>
  <si>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</si>
  <si>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</si>
  <si>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</si>
  <si>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</si>
  <si>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</si>
  <si>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</si>
  <si>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</si>
  <si>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</si>
  <si>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</si>
  <si>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</si>
  <si>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</si>
  <si>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</si>
  <si>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</si>
  <si>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</si>
  <si>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</si>
  <si>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</si>
  <si>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</si>
  <si>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</si>
  <si>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</si>
  <si>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</si>
  <si>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</si>
  <si>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</si>
  <si>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</si>
  <si>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</si>
  <si>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</si>
  <si>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</si>
  <si>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</si>
  <si>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</si>
  <si>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</si>
  <si>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</si>
  <si>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</si>
  <si>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</si>
  <si>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</si>
  <si>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</si>
  <si>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</si>
  <si>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</si>
  <si>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</si>
  <si>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</si>
  <si>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Rating(out of 5)</t>
  </si>
  <si>
    <t>Discount(Amount)</t>
  </si>
  <si>
    <t>Ratings category</t>
  </si>
  <si>
    <t>Discount Category</t>
  </si>
  <si>
    <t>Most expensive item</t>
  </si>
  <si>
    <t>Least expensive item</t>
  </si>
  <si>
    <t>Row Labels</t>
  </si>
  <si>
    <t>(blank)</t>
  </si>
  <si>
    <t>Grand Total</t>
  </si>
  <si>
    <t>ITEM ID</t>
  </si>
  <si>
    <t>Count of Review</t>
  </si>
  <si>
    <t>0.0126382306477093-0.112638230647709</t>
  </si>
  <si>
    <t>0.112638230647709-0.212638230647709</t>
  </si>
  <si>
    <t>0.212638230647709-0.312638230647709</t>
  </si>
  <si>
    <t>0.312638230647709-0.412638230647709</t>
  </si>
  <si>
    <t>0.412638230647709-0.512638230647709</t>
  </si>
  <si>
    <t>0.512638230647709-0.612638230647709</t>
  </si>
  <si>
    <t>0.612638230647709-0.712638230647709</t>
  </si>
  <si>
    <t>Average of Rating(out of 5)</t>
  </si>
  <si>
    <t>Sum of Review</t>
  </si>
  <si>
    <t>Sum of Rating(out of 5)</t>
  </si>
  <si>
    <t>Max of Rating(out of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</si>
</sst>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sh-441]\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3" fontId="0" fillId="0" borderId="0" xfId="0" applyNumberFormat="1"/>
    <xf numFmtId="10" fontId="18" fillId="0" borderId="0" xfId="0" applyNumberFormat="1" applyFont="1"/>
    <xf numFmtId="10" fontId="0" fillId="0" borderId="0" xfId="0" applyNumberFormat="1"/>
    <xf numFmtId="0" fontId="0" fillId="0" borderId="0" xfId="0" pivotButton="1"/>
    <xf numFmtId="0" fontId="0" fillId="0" borderId="0" xfId="0" applyAlignment="1">
      <alignment horizontal="left"/>
    </xf>
    <xf numFmtId="164" fontId="18" fillId="0" borderId="0" xfId="0" applyNumberFormat="1" applyFont="1"/>
    <xf numFmtId="164" fontId="0" fillId="0" borderId="0" xfId="0" applyNumberFormat="1"/>
    <xf numFmtId="0" fontId="0" fillId="0" borderId="0" xfId="0" applyAlignment="1">
      <alignment horizontal="left" indent="1"/>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jumia.csv.xlsx]rel between discount and review!PivotTable3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 between discount and review'!$B$3</c:f>
              <c:strCache>
                <c:ptCount val="1"/>
                <c:pt idx="0">
                  <c:v>Total</c:v>
                </c:pt>
              </c:strCache>
            </c:strRef>
          </c:tx>
          <c:spPr>
            <a:solidFill>
              <a:schemeClr val="accent1"/>
            </a:solidFill>
            <a:ln>
              <a:noFill/>
            </a:ln>
            <a:effectLst/>
          </c:spPr>
          <c:invertIfNegative val="0"/>
          <c:cat>
            <c:strRef>
              <c:f>'rel between discount and review'!$A$4:$A$12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'rel between discount and review'!$B$4:$B$12</c:f>
              <c:numCache>
                <c:formatCode>General</c:formatCode>
                <c:ptCount val="8"/>
                <c:pt idx="1">
                  <c:v>13</c:v>
                </c:pt>
                <c:pt idx="2">
                  <c:v>7</c:v>
                </c:pt>
                <c:pt idx="3">
                  <c:v>12</c:v>
                </c:pt>
                <c:pt idx="4">
                  <c:v>20</c:v>
                </c:pt>
                <c:pt idx="5">
                  <c:v>48</c:v>
                </c:pt>
                <c:pt idx="6">
                  <c:v>11</c:v>
                </c:pt>
                <c:pt idx="7">
                  <c:v>1</c:v>
                </c:pt>
              </c:numCache>
            </c:numRef>
          </c:val>
          <c:extLst>
            <c:ext xmlns:c16="http://schemas.microsoft.com/office/drawing/2014/chart" uri="{C3380CC4-5D6E-409C-BE32-E72D297353CC}">
              <c16:uniqueId val="{00000000-FE99-48DD-9EBF-0610A662C29C}"/>
            </c:ext>
          </c:extLst>
        </c:ser>
        <c:dLbls>
          <c:showLegendKey val="0"/>
          <c:showVal val="0"/>
          <c:showCatName val="0"/>
          <c:showSerName val="0"/>
          <c:showPercent val="0"/>
          <c:showBubbleSize val="0"/>
        </c:dLbls>
        <c:gapWidth val="219"/>
        <c:overlap val="-27"/>
        <c:axId val="1230567504"/>
        <c:axId val="1230566064"/>
      </c:barChart>
      <c:catAx>
        <c:axId val="12305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66064"/>
        <c:crosses val="autoZero"/>
        <c:auto val="1"/>
        <c:lblAlgn val="ctr"/>
        <c:lblOffset val="100"/>
        <c:noMultiLvlLbl val="0"/>
      </c:catAx>
      <c:valAx>
        <c:axId val="123056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6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jumia.csv.xlsx]discount and rating!PivotTable4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and rating'!$B$3</c:f>
              <c:strCache>
                <c:ptCount val="1"/>
                <c:pt idx="0">
                  <c:v>Total</c:v>
                </c:pt>
              </c:strCache>
            </c:strRef>
          </c:tx>
          <c:spPr>
            <a:solidFill>
              <a:schemeClr val="accent1"/>
            </a:solidFill>
            <a:ln>
              <a:noFill/>
            </a:ln>
            <a:effectLst/>
          </c:spPr>
          <c:invertIfNegative val="0"/>
          <c:cat>
            <c:strRef>
              <c:f>'discount and rating'!$A$4:$A$12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'discount and rating'!$B$4:$B$12</c:f>
              <c:numCache>
                <c:formatCode>General</c:formatCode>
                <c:ptCount val="8"/>
                <c:pt idx="1">
                  <c:v>3.9076923076923071</c:v>
                </c:pt>
                <c:pt idx="2">
                  <c:v>3.9714285714285711</c:v>
                </c:pt>
                <c:pt idx="3">
                  <c:v>4.1083333333333334</c:v>
                </c:pt>
                <c:pt idx="4">
                  <c:v>4.1650000000000009</c:v>
                </c:pt>
                <c:pt idx="5">
                  <c:v>3.7250000000000014</c:v>
                </c:pt>
                <c:pt idx="6">
                  <c:v>3.8454545454545457</c:v>
                </c:pt>
                <c:pt idx="7">
                  <c:v>3.9</c:v>
                </c:pt>
              </c:numCache>
            </c:numRef>
          </c:val>
          <c:extLst>
            <c:ext xmlns:c16="http://schemas.microsoft.com/office/drawing/2014/chart" uri="{C3380CC4-5D6E-409C-BE32-E72D297353CC}">
              <c16:uniqueId val="{00000000-746D-4508-97B0-781B61ED7F35}"/>
            </c:ext>
          </c:extLst>
        </c:ser>
        <c:dLbls>
          <c:showLegendKey val="0"/>
          <c:showVal val="0"/>
          <c:showCatName val="0"/>
          <c:showSerName val="0"/>
          <c:showPercent val="0"/>
          <c:showBubbleSize val="0"/>
        </c:dLbls>
        <c:gapWidth val="219"/>
        <c:overlap val="-27"/>
        <c:axId val="961880480"/>
        <c:axId val="961880960"/>
      </c:barChart>
      <c:catAx>
        <c:axId val="9618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0960"/>
        <c:crosses val="autoZero"/>
        <c:auto val="1"/>
        <c:lblAlgn val="ctr"/>
        <c:lblOffset val="100"/>
        <c:noMultiLvlLbl val="0"/>
      </c:catAx>
      <c:valAx>
        <c:axId val="9618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jumia.csv.xlsx]rela betw rating and review!PivotTable1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 betw rating and review'!$B$3</c:f>
              <c:strCache>
                <c:ptCount val="1"/>
                <c:pt idx="0">
                  <c:v>Total</c:v>
                </c:pt>
              </c:strCache>
            </c:strRef>
          </c:tx>
          <c:spPr>
            <a:solidFill>
              <a:schemeClr val="accent1"/>
            </a:solidFill>
            <a:ln>
              <a:noFill/>
            </a:ln>
            <a:effectLst/>
          </c:spPr>
          <c:invertIfNegative val="0"/>
          <c:cat>
            <c:strRef>
              <c:f>'rela betw 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'rela betw rating and review'!$B$4:$B$28</c:f>
              <c:numCache>
                <c:formatCode>General</c:formatCode>
                <c:ptCount val="24"/>
                <c:pt idx="0">
                  <c:v>1</c:v>
                </c:pt>
                <c:pt idx="1">
                  <c:v>2</c:v>
                </c:pt>
                <c:pt idx="2">
                  <c:v>2</c:v>
                </c:pt>
                <c:pt idx="3">
                  <c:v>2</c:v>
                </c:pt>
                <c:pt idx="4">
                  <c:v>1</c:v>
                </c:pt>
                <c:pt idx="5">
                  <c:v>1</c:v>
                </c:pt>
                <c:pt idx="6">
                  <c:v>1</c:v>
                </c:pt>
                <c:pt idx="7">
                  <c:v>1</c:v>
                </c:pt>
                <c:pt idx="8">
                  <c:v>1</c:v>
                </c:pt>
                <c:pt idx="9">
                  <c:v>5</c:v>
                </c:pt>
                <c:pt idx="10">
                  <c:v>1</c:v>
                </c:pt>
                <c:pt idx="11">
                  <c:v>3</c:v>
                </c:pt>
                <c:pt idx="12">
                  <c:v>55</c:v>
                </c:pt>
                <c:pt idx="13">
                  <c:v>4</c:v>
                </c:pt>
                <c:pt idx="14">
                  <c:v>3</c:v>
                </c:pt>
                <c:pt idx="15">
                  <c:v>1</c:v>
                </c:pt>
                <c:pt idx="16">
                  <c:v>4</c:v>
                </c:pt>
                <c:pt idx="17">
                  <c:v>1</c:v>
                </c:pt>
                <c:pt idx="18">
                  <c:v>4</c:v>
                </c:pt>
                <c:pt idx="19">
                  <c:v>5</c:v>
                </c:pt>
                <c:pt idx="20">
                  <c:v>4</c:v>
                </c:pt>
                <c:pt idx="21">
                  <c:v>3</c:v>
                </c:pt>
                <c:pt idx="22">
                  <c:v>7</c:v>
                </c:pt>
              </c:numCache>
            </c:numRef>
          </c:val>
          <c:extLst>
            <c:ext xmlns:c16="http://schemas.microsoft.com/office/drawing/2014/chart" uri="{C3380CC4-5D6E-409C-BE32-E72D297353CC}">
              <c16:uniqueId val="{00000000-CCEF-489A-B5B1-9EB768B2185D}"/>
            </c:ext>
          </c:extLst>
        </c:ser>
        <c:dLbls>
          <c:showLegendKey val="0"/>
          <c:showVal val="0"/>
          <c:showCatName val="0"/>
          <c:showSerName val="0"/>
          <c:showPercent val="0"/>
          <c:showBubbleSize val="0"/>
        </c:dLbls>
        <c:gapWidth val="219"/>
        <c:overlap val="-27"/>
        <c:axId val="1807365872"/>
        <c:axId val="1807379792"/>
      </c:barChart>
      <c:catAx>
        <c:axId val="18073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79792"/>
        <c:crosses val="autoZero"/>
        <c:auto val="1"/>
        <c:lblAlgn val="ctr"/>
        <c:lblOffset val="100"/>
        <c:noMultiLvlLbl val="0"/>
      </c:catAx>
      <c:valAx>
        <c:axId val="180737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jumia.csv.xlsx]comparison between high ,low di!PivotTable3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'comparison between high ,low di'!$B$3</c:f>
              <c:strCache>
                <c:ptCount val="1"/>
                <c:pt idx="0">
                  <c:v>Sum of Review</c:v>
                </c:pt>
              </c:strCache>
            </c:strRef>
          </c:tx>
          <c:spPr>
            <a:solidFill>
              <a:schemeClr val="accent1"/>
            </a:solidFill>
            <a:ln>
              <a:noFill/>
            </a:ln>
            <a:effectLst/>
          </c:spPr>
          <c:invertIfNegative val="0"/>
          <c:cat>
            <c:strRef>
              <c:f>'comparison between high ,low di'!$A$4:$A$12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'comparison between high ,low di'!$B$4:$B$12</c:f>
              <c:numCache>
                <c:formatCode>General</c:formatCode>
                <c:ptCount val="8"/>
                <c:pt idx="1">
                  <c:v>15</c:v>
                </c:pt>
                <c:pt idx="2">
                  <c:v>36</c:v>
                </c:pt>
                <c:pt idx="3">
                  <c:v>191</c:v>
                </c:pt>
                <c:pt idx="4">
                  <c:v>183</c:v>
                </c:pt>
                <c:pt idx="5">
                  <c:v>222</c:v>
                </c:pt>
                <c:pt idx="6">
                  <c:v>76</c:v>
                </c:pt>
                <c:pt idx="7">
                  <c:v>0</c:v>
                </c:pt>
              </c:numCache>
            </c:numRef>
          </c:val>
          <c:extLst>
            <c:ext xmlns:c16="http://schemas.microsoft.com/office/drawing/2014/chart" uri="{C3380CC4-5D6E-409C-BE32-E72D297353CC}">
              <c16:uniqueId val="{00000000-8A52-4913-9C3C-45C053DAEBF3}"/>
            </c:ext>
          </c:extLst>
        </c:ser>
        <c:ser>
          <c:idx val="1"/>
          <c:order val="1"/>
          <c:tx>
            <c:strRef>
              <c:f>'comparison between high ,low di'!$C$3</c:f>
              <c:strCache>
                <c:ptCount val="1"/>
                <c:pt idx="0">
                  <c:v>Sum of Rating(out of 5)</c:v>
                </c:pt>
              </c:strCache>
            </c:strRef>
          </c:tx>
          <c:spPr>
            <a:solidFill>
              <a:schemeClr val="accent2"/>
            </a:solidFill>
            <a:ln>
              <a:noFill/>
            </a:ln>
            <a:effectLst/>
          </c:spPr>
          <c:invertIfNegative val="0"/>
          <c:cat>
            <c:strRef>
              <c:f>'comparison between high ,low di'!$A$4:$A$12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'comparison between high ,low di'!$C$4:$C$12</c:f>
              <c:numCache>
                <c:formatCode>General</c:formatCode>
                <c:ptCount val="8"/>
                <c:pt idx="1">
                  <c:v>50.79999999999999</c:v>
                </c:pt>
                <c:pt idx="2">
                  <c:v>27.799999999999997</c:v>
                </c:pt>
                <c:pt idx="3">
                  <c:v>49.3</c:v>
                </c:pt>
                <c:pt idx="4">
                  <c:v>83.300000000000011</c:v>
                </c:pt>
                <c:pt idx="5">
                  <c:v>178.80000000000007</c:v>
                </c:pt>
                <c:pt idx="6">
                  <c:v>42.300000000000004</c:v>
                </c:pt>
                <c:pt idx="7">
                  <c:v>3.9</c:v>
                </c:pt>
              </c:numCache>
            </c:numRef>
          </c:val>
          <c:extLst>
            <c:ext xmlns:c16="http://schemas.microsoft.com/office/drawing/2014/chart" uri="{C3380CC4-5D6E-409C-BE32-E72D297353CC}">
              <c16:uniqueId val="{00000001-8A52-4913-9C3C-45C053DAEBF3}"/>
            </c:ext>
          </c:extLst>
        </c:ser>
        <c:dLbls>
          <c:showLegendKey val="0"/>
          <c:showVal val="0"/>
          <c:showCatName val="0"/>
          <c:showSerName val="0"/>
          <c:showPercent val="0"/>
          <c:showBubbleSize val="0"/>
        </c:dLbls>
        <c:gapWidth val="219"/>
        <c:overlap val="-27"/>
        <c:axId val="866950672"/>
        <c:axId val="866950192"/>
      </c:barChart>
      <c:catAx>
        <c:axId val="86695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50192"/>
        <c:crosses val="autoZero"/>
        <c:auto val="1"/>
        <c:lblAlgn val="ctr"/>
        <c:lblOffset val="100"/>
        <c:noMultiLvlLbl val="0"/>
      </c:catAx>
      <c:valAx>
        <c:axId val="86695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5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jumia.csv.xlsx]discount and rating!PivotTable4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to Discount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and rating'!$B$3</c:f>
              <c:strCache>
                <c:ptCount val="1"/>
                <c:pt idx="0">
                  <c:v>Total</c:v>
                </c:pt>
              </c:strCache>
            </c:strRef>
          </c:tx>
          <c:spPr>
            <a:solidFill>
              <a:schemeClr val="accent1"/>
            </a:solidFill>
            <a:ln>
              <a:noFill/>
            </a:ln>
            <a:effectLst/>
          </c:spPr>
          <c:invertIfNegative val="0"/>
          <c:cat>
            <c:strRef>
              <c:f>'discount and rating'!$A$4:$A$12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'discount and rating'!$B$4:$B$12</c:f>
              <c:numCache>
                <c:formatCode>General</c:formatCode>
                <c:ptCount val="8"/>
                <c:pt idx="1">
                  <c:v>3.9076923076923071</c:v>
                </c:pt>
                <c:pt idx="2">
                  <c:v>3.9714285714285711</c:v>
                </c:pt>
                <c:pt idx="3">
                  <c:v>4.1083333333333334</c:v>
                </c:pt>
                <c:pt idx="4">
                  <c:v>4.1650000000000009</c:v>
                </c:pt>
                <c:pt idx="5">
                  <c:v>3.7250000000000014</c:v>
                </c:pt>
                <c:pt idx="6">
                  <c:v>3.8454545454545457</c:v>
                </c:pt>
                <c:pt idx="7">
                  <c:v>3.9</c:v>
                </c:pt>
              </c:numCache>
            </c:numRef>
          </c:val>
          <c:extLst>
            <c:ext xmlns:c16="http://schemas.microsoft.com/office/drawing/2014/chart" uri="{C3380CC4-5D6E-409C-BE32-E72D297353CC}">
              <c16:uniqueId val="{00000000-5B71-497C-8C21-7DB5B25FF962}"/>
            </c:ext>
          </c:extLst>
        </c:ser>
        <c:dLbls>
          <c:showLegendKey val="0"/>
          <c:showVal val="0"/>
          <c:showCatName val="0"/>
          <c:showSerName val="0"/>
          <c:showPercent val="0"/>
          <c:showBubbleSize val="0"/>
        </c:dLbls>
        <c:gapWidth val="219"/>
        <c:overlap val="-27"/>
        <c:axId val="961880480"/>
        <c:axId val="961880960"/>
      </c:barChart>
      <c:catAx>
        <c:axId val="9618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0960"/>
        <c:crosses val="autoZero"/>
        <c:auto val="1"/>
        <c:lblAlgn val="ctr"/>
        <c:lblOffset val="100"/>
        <c:noMultiLvlLbl val="0"/>
      </c:catAx>
      <c:valAx>
        <c:axId val="9618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jumia.csv.xlsx]Sheet8!PivotTable5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to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Sheet8!$A$4:$A$117</c:f>
              <c:strCache>
                <c:ptCount val="113"/>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1052</c:v>
                </c:pt>
                <c:pt idx="52">
                  <c:v>1053</c:v>
                </c:pt>
                <c:pt idx="53">
                  <c:v>1054</c:v>
                </c:pt>
                <c:pt idx="54">
                  <c:v>1055</c:v>
                </c:pt>
                <c:pt idx="55">
                  <c:v>1056</c:v>
                </c:pt>
                <c:pt idx="56">
                  <c:v>1057</c:v>
                </c:pt>
                <c:pt idx="57">
                  <c:v>1058</c:v>
                </c:pt>
                <c:pt idx="58">
                  <c:v>1059</c:v>
                </c:pt>
                <c:pt idx="59">
                  <c:v>1060</c:v>
                </c:pt>
                <c:pt idx="60">
                  <c:v>1061</c:v>
                </c:pt>
                <c:pt idx="61">
                  <c:v>1062</c:v>
                </c:pt>
                <c:pt idx="62">
                  <c:v>1063</c:v>
                </c:pt>
                <c:pt idx="63">
                  <c:v>1064</c:v>
                </c:pt>
                <c:pt idx="64">
                  <c:v>1065</c:v>
                </c:pt>
                <c:pt idx="65">
                  <c:v>1066</c:v>
                </c:pt>
                <c:pt idx="66">
                  <c:v>1067</c:v>
                </c:pt>
                <c:pt idx="67">
                  <c:v>1068</c:v>
                </c:pt>
                <c:pt idx="68">
                  <c:v>1069</c:v>
                </c:pt>
                <c:pt idx="69">
                  <c:v>1070</c:v>
                </c:pt>
                <c:pt idx="70">
                  <c:v>1071</c:v>
                </c:pt>
                <c:pt idx="71">
                  <c:v>1072</c:v>
                </c:pt>
                <c:pt idx="72">
                  <c:v>1073</c:v>
                </c:pt>
                <c:pt idx="73">
                  <c:v>1074</c:v>
                </c:pt>
                <c:pt idx="74">
                  <c:v>1075</c:v>
                </c:pt>
                <c:pt idx="75">
                  <c:v>1076</c:v>
                </c:pt>
                <c:pt idx="76">
                  <c:v>1077</c:v>
                </c:pt>
                <c:pt idx="77">
                  <c:v>1078</c:v>
                </c:pt>
                <c:pt idx="78">
                  <c:v>1079</c:v>
                </c:pt>
                <c:pt idx="79">
                  <c:v>1080</c:v>
                </c:pt>
                <c:pt idx="80">
                  <c:v>1081</c:v>
                </c:pt>
                <c:pt idx="81">
                  <c:v>1082</c:v>
                </c:pt>
                <c:pt idx="82">
                  <c:v>1083</c:v>
                </c:pt>
                <c:pt idx="83">
                  <c:v>1084</c:v>
                </c:pt>
                <c:pt idx="84">
                  <c:v>1085</c:v>
                </c:pt>
                <c:pt idx="85">
                  <c:v>1086</c:v>
                </c:pt>
                <c:pt idx="86">
                  <c:v>1087</c:v>
                </c:pt>
                <c:pt idx="87">
                  <c:v>1088</c:v>
                </c:pt>
                <c:pt idx="88">
                  <c:v>1089</c:v>
                </c:pt>
                <c:pt idx="89">
                  <c:v>1090</c:v>
                </c:pt>
                <c:pt idx="90">
                  <c:v>1091</c:v>
                </c:pt>
                <c:pt idx="91">
                  <c:v>1092</c:v>
                </c:pt>
                <c:pt idx="92">
                  <c:v>1093</c:v>
                </c:pt>
                <c:pt idx="93">
                  <c:v>1094</c:v>
                </c:pt>
                <c:pt idx="94">
                  <c:v>1095</c:v>
                </c:pt>
                <c:pt idx="95">
                  <c:v>1096</c:v>
                </c:pt>
                <c:pt idx="96">
                  <c:v>1097</c:v>
                </c:pt>
                <c:pt idx="97">
                  <c:v>1098</c:v>
                </c:pt>
                <c:pt idx="98">
                  <c:v>1099</c:v>
                </c:pt>
                <c:pt idx="99">
                  <c:v>1100</c:v>
                </c:pt>
                <c:pt idx="100">
                  <c:v>1101</c:v>
                </c:pt>
                <c:pt idx="101">
                  <c:v>1102</c:v>
                </c:pt>
                <c:pt idx="102">
                  <c:v>1103</c:v>
                </c:pt>
                <c:pt idx="103">
                  <c:v>1104</c:v>
                </c:pt>
                <c:pt idx="104">
                  <c:v>1105</c:v>
                </c:pt>
                <c:pt idx="105">
                  <c:v>1106</c:v>
                </c:pt>
                <c:pt idx="106">
                  <c:v>1107</c:v>
                </c:pt>
                <c:pt idx="107">
                  <c:v>1108</c:v>
                </c:pt>
                <c:pt idx="108">
                  <c:v>1109</c:v>
                </c:pt>
                <c:pt idx="109">
                  <c:v>1110</c:v>
                </c:pt>
                <c:pt idx="110">
                  <c:v>1111</c:v>
                </c:pt>
                <c:pt idx="111">
                  <c:v>1112</c:v>
                </c:pt>
                <c:pt idx="112">
                  <c:v>(blank)</c:v>
                </c:pt>
              </c:strCache>
            </c:strRef>
          </c:cat>
          <c:val>
            <c:numRef>
              <c:f>Sheet8!$B$4:$B$117</c:f>
              <c:numCache>
                <c:formatCode>General</c:formatCode>
                <c:ptCount val="113"/>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3.9</c:v>
                </c:pt>
                <c:pt idx="22">
                  <c:v>4</c:v>
                </c:pt>
                <c:pt idx="23">
                  <c:v>4.4000000000000004</c:v>
                </c:pt>
                <c:pt idx="24">
                  <c:v>4.3</c:v>
                </c:pt>
                <c:pt idx="25">
                  <c:v>4.5999999999999996</c:v>
                </c:pt>
                <c:pt idx="26">
                  <c:v>3.8</c:v>
                </c:pt>
                <c:pt idx="27">
                  <c:v>3.8</c:v>
                </c:pt>
                <c:pt idx="28">
                  <c:v>4.0999999999999996</c:v>
                </c:pt>
                <c:pt idx="29">
                  <c:v>3.9</c:v>
                </c:pt>
                <c:pt idx="30">
                  <c:v>4.3</c:v>
                </c:pt>
                <c:pt idx="31">
                  <c:v>4.7</c:v>
                </c:pt>
                <c:pt idx="32">
                  <c:v>4.3</c:v>
                </c:pt>
                <c:pt idx="33">
                  <c:v>4.7</c:v>
                </c:pt>
                <c:pt idx="34">
                  <c:v>4.5</c:v>
                </c:pt>
                <c:pt idx="35">
                  <c:v>5</c:v>
                </c:pt>
                <c:pt idx="36">
                  <c:v>5</c:v>
                </c:pt>
                <c:pt idx="37">
                  <c:v>4.3</c:v>
                </c:pt>
                <c:pt idx="38">
                  <c:v>4.5</c:v>
                </c:pt>
                <c:pt idx="39">
                  <c:v>3.9</c:v>
                </c:pt>
                <c:pt idx="40">
                  <c:v>3.9</c:v>
                </c:pt>
                <c:pt idx="41">
                  <c:v>3.9</c:v>
                </c:pt>
                <c:pt idx="42">
                  <c:v>3.9</c:v>
                </c:pt>
                <c:pt idx="43">
                  <c:v>3.9</c:v>
                </c:pt>
                <c:pt idx="44">
                  <c:v>3.9</c:v>
                </c:pt>
                <c:pt idx="45">
                  <c:v>3.9</c:v>
                </c:pt>
                <c:pt idx="46">
                  <c:v>3.9</c:v>
                </c:pt>
                <c:pt idx="47">
                  <c:v>3.9</c:v>
                </c:pt>
                <c:pt idx="48">
                  <c:v>3.9</c:v>
                </c:pt>
                <c:pt idx="49">
                  <c:v>3.9</c:v>
                </c:pt>
                <c:pt idx="50">
                  <c:v>3.9</c:v>
                </c:pt>
                <c:pt idx="51">
                  <c:v>3.9</c:v>
                </c:pt>
                <c:pt idx="52">
                  <c:v>3.9</c:v>
                </c:pt>
                <c:pt idx="53">
                  <c:v>3.9</c:v>
                </c:pt>
                <c:pt idx="54">
                  <c:v>3.9</c:v>
                </c:pt>
                <c:pt idx="55">
                  <c:v>3.9</c:v>
                </c:pt>
                <c:pt idx="56">
                  <c:v>3.9</c:v>
                </c:pt>
                <c:pt idx="57">
                  <c:v>3.9</c:v>
                </c:pt>
                <c:pt idx="58">
                  <c:v>3.9</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3.9</c:v>
                </c:pt>
                <c:pt idx="75">
                  <c:v>3.9</c:v>
                </c:pt>
                <c:pt idx="76">
                  <c:v>3.9</c:v>
                </c:pt>
                <c:pt idx="77">
                  <c:v>3.9</c:v>
                </c:pt>
                <c:pt idx="78">
                  <c:v>3</c:v>
                </c:pt>
                <c:pt idx="79">
                  <c:v>5</c:v>
                </c:pt>
                <c:pt idx="80">
                  <c:v>3.9</c:v>
                </c:pt>
                <c:pt idx="81">
                  <c:v>3.9</c:v>
                </c:pt>
                <c:pt idx="82">
                  <c:v>4</c:v>
                </c:pt>
                <c:pt idx="83">
                  <c:v>3.9</c:v>
                </c:pt>
                <c:pt idx="84">
                  <c:v>3.9</c:v>
                </c:pt>
                <c:pt idx="85">
                  <c:v>3.9</c:v>
                </c:pt>
                <c:pt idx="86">
                  <c:v>3.9</c:v>
                </c:pt>
                <c:pt idx="87">
                  <c:v>3.9</c:v>
                </c:pt>
                <c:pt idx="88">
                  <c:v>3.9</c:v>
                </c:pt>
                <c:pt idx="89">
                  <c:v>3.9</c:v>
                </c:pt>
                <c:pt idx="90">
                  <c:v>3.9</c:v>
                </c:pt>
                <c:pt idx="91">
                  <c:v>3.9</c:v>
                </c:pt>
                <c:pt idx="92">
                  <c:v>3.9</c:v>
                </c:pt>
                <c:pt idx="93">
                  <c:v>3.9</c:v>
                </c:pt>
                <c:pt idx="94">
                  <c:v>3.9</c:v>
                </c:pt>
                <c:pt idx="95">
                  <c:v>3.9</c:v>
                </c:pt>
                <c:pt idx="96">
                  <c:v>3.9</c:v>
                </c:pt>
                <c:pt idx="97">
                  <c:v>3.9</c:v>
                </c:pt>
                <c:pt idx="98">
                  <c:v>3.9</c:v>
                </c:pt>
                <c:pt idx="99">
                  <c:v>3.9</c:v>
                </c:pt>
                <c:pt idx="100">
                  <c:v>3.9</c:v>
                </c:pt>
                <c:pt idx="101">
                  <c:v>5</c:v>
                </c:pt>
                <c:pt idx="102">
                  <c:v>3.9</c:v>
                </c:pt>
                <c:pt idx="103">
                  <c:v>3.9</c:v>
                </c:pt>
                <c:pt idx="104">
                  <c:v>3.9</c:v>
                </c:pt>
                <c:pt idx="105">
                  <c:v>3.9</c:v>
                </c:pt>
                <c:pt idx="106">
                  <c:v>3.9</c:v>
                </c:pt>
                <c:pt idx="107">
                  <c:v>3.9</c:v>
                </c:pt>
                <c:pt idx="108">
                  <c:v>3.9</c:v>
                </c:pt>
                <c:pt idx="109">
                  <c:v>3.9</c:v>
                </c:pt>
                <c:pt idx="110">
                  <c:v>2</c:v>
                </c:pt>
                <c:pt idx="111">
                  <c:v>3.9</c:v>
                </c:pt>
              </c:numCache>
            </c:numRef>
          </c:val>
          <c:extLst>
            <c:ext xmlns:c16="http://schemas.microsoft.com/office/drawing/2014/chart" uri="{C3380CC4-5D6E-409C-BE32-E72D297353CC}">
              <c16:uniqueId val="{00000000-8A6B-436D-A649-000009F7D235}"/>
            </c:ext>
          </c:extLst>
        </c:ser>
        <c:dLbls>
          <c:showLegendKey val="0"/>
          <c:showVal val="0"/>
          <c:showCatName val="0"/>
          <c:showSerName val="0"/>
          <c:showPercent val="0"/>
          <c:showBubbleSize val="0"/>
        </c:dLbls>
        <c:gapWidth val="219"/>
        <c:overlap val="-27"/>
        <c:axId val="961870880"/>
        <c:axId val="961887200"/>
      </c:barChart>
      <c:catAx>
        <c:axId val="96187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7200"/>
        <c:crosses val="autoZero"/>
        <c:auto val="1"/>
        <c:lblAlgn val="ctr"/>
        <c:lblOffset val="100"/>
        <c:noMultiLvlLbl val="0"/>
      </c:catAx>
      <c:valAx>
        <c:axId val="96188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jumia.csv.xlsx]rating and review!PivotTable4</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800087489064"/>
          <c:y val="0.23550707203266255"/>
          <c:w val="0.41147353455818025"/>
          <c:h val="0.68578922426363376"/>
        </c:manualLayout>
      </c:layout>
      <c:barChart>
        <c:barDir val="bar"/>
        <c:grouping val="stacked"/>
        <c:varyColors val="0"/>
        <c:ser>
          <c:idx val="0"/>
          <c:order val="0"/>
          <c:tx>
            <c:strRef>
              <c:f>'rating and review'!$B$3</c:f>
              <c:strCache>
                <c:ptCount val="1"/>
                <c:pt idx="0">
                  <c:v>Sum of Rating(out of 5)</c:v>
                </c:pt>
              </c:strCache>
            </c:strRef>
          </c:tx>
          <c:spPr>
            <a:solidFill>
              <a:schemeClr val="accent1"/>
            </a:solidFill>
            <a:ln w="19050">
              <a:solidFill>
                <a:schemeClr val="lt1"/>
              </a:solid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review'!$B$4:$B$28</c:f>
              <c:numCache>
                <c:formatCode>General</c:formatCode>
                <c:ptCount val="24"/>
                <c:pt idx="0">
                  <c:v>2</c:v>
                </c:pt>
                <c:pt idx="1">
                  <c:v>4.2</c:v>
                </c:pt>
                <c:pt idx="2">
                  <c:v>4.4000000000000004</c:v>
                </c:pt>
                <c:pt idx="3">
                  <c:v>4.5999999999999996</c:v>
                </c:pt>
                <c:pt idx="4">
                  <c:v>2.5</c:v>
                </c:pt>
                <c:pt idx="5">
                  <c:v>2.6</c:v>
                </c:pt>
                <c:pt idx="6">
                  <c:v>2.7</c:v>
                </c:pt>
                <c:pt idx="7">
                  <c:v>2.8</c:v>
                </c:pt>
                <c:pt idx="8">
                  <c:v>2.9</c:v>
                </c:pt>
                <c:pt idx="9">
                  <c:v>15</c:v>
                </c:pt>
                <c:pt idx="10">
                  <c:v>3.3</c:v>
                </c:pt>
                <c:pt idx="11">
                  <c:v>11.399999999999999</c:v>
                </c:pt>
                <c:pt idx="12">
                  <c:v>214.5000000000002</c:v>
                </c:pt>
                <c:pt idx="13">
                  <c:v>16</c:v>
                </c:pt>
                <c:pt idx="14">
                  <c:v>12.299999999999999</c:v>
                </c:pt>
                <c:pt idx="15">
                  <c:v>4.2</c:v>
                </c:pt>
                <c:pt idx="16">
                  <c:v>17.2</c:v>
                </c:pt>
                <c:pt idx="17">
                  <c:v>4.4000000000000004</c:v>
                </c:pt>
                <c:pt idx="18">
                  <c:v>18</c:v>
                </c:pt>
                <c:pt idx="19">
                  <c:v>23</c:v>
                </c:pt>
                <c:pt idx="20">
                  <c:v>18.8</c:v>
                </c:pt>
                <c:pt idx="21">
                  <c:v>14.399999999999999</c:v>
                </c:pt>
                <c:pt idx="22">
                  <c:v>35</c:v>
                </c:pt>
              </c:numCache>
            </c:numRef>
          </c:val>
          <c:extLst>
            <c:ext xmlns:c16="http://schemas.microsoft.com/office/drawing/2014/chart" uri="{C3380CC4-5D6E-409C-BE32-E72D297353CC}">
              <c16:uniqueId val="{000000E2-2EAD-436F-979A-6789CA29A712}"/>
            </c:ext>
          </c:extLst>
        </c:ser>
        <c:ser>
          <c:idx val="1"/>
          <c:order val="1"/>
          <c:tx>
            <c:strRef>
              <c:f>'rating and review'!$C$3</c:f>
              <c:strCache>
                <c:ptCount val="1"/>
                <c:pt idx="0">
                  <c:v>Sum of Review</c:v>
                </c:pt>
              </c:strCache>
            </c:strRef>
          </c:tx>
          <c:spPr>
            <a:solidFill>
              <a:schemeClr val="accent2"/>
            </a:solidFill>
            <a:ln w="19050">
              <a:solidFill>
                <a:schemeClr val="lt1"/>
              </a:solid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review'!$C$4:$C$28</c:f>
              <c:numCache>
                <c:formatCode>General</c:formatCode>
                <c:ptCount val="24"/>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extLst>
            <c:ext xmlns:c16="http://schemas.microsoft.com/office/drawing/2014/chart" uri="{C3380CC4-5D6E-409C-BE32-E72D297353CC}">
              <c16:uniqueId val="{000000E3-2EAD-436F-979A-6789CA29A712}"/>
            </c:ext>
          </c:extLst>
        </c:ser>
        <c:dLbls>
          <c:showLegendKey val="0"/>
          <c:showVal val="0"/>
          <c:showCatName val="0"/>
          <c:showSerName val="0"/>
          <c:showPercent val="0"/>
          <c:showBubbleSize val="0"/>
        </c:dLbls>
        <c:gapWidth val="100"/>
        <c:overlap val="100"/>
        <c:axId val="1142484576"/>
        <c:axId val="1142484096"/>
      </c:barChart>
      <c:catAx>
        <c:axId val="1142484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84096"/>
        <c:crosses val="autoZero"/>
        <c:auto val="1"/>
        <c:lblAlgn val="ctr"/>
        <c:lblOffset val="100"/>
        <c:noMultiLvlLbl val="0"/>
      </c:catAx>
      <c:valAx>
        <c:axId val="114248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8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jumia.csv.xlsx]rating and review!PivotTable4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and review'!$B$3</c:f>
              <c:strCache>
                <c:ptCount val="1"/>
                <c:pt idx="0">
                  <c:v>Sum of Rating(out of 5)</c:v>
                </c:pt>
              </c:strCache>
            </c:strRef>
          </c:tx>
          <c:spPr>
            <a:solidFill>
              <a:schemeClr val="accent1"/>
            </a:solidFill>
            <a:ln>
              <a:no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review'!$B$4:$B$28</c:f>
              <c:numCache>
                <c:formatCode>General</c:formatCode>
                <c:ptCount val="24"/>
                <c:pt idx="0">
                  <c:v>2</c:v>
                </c:pt>
                <c:pt idx="1">
                  <c:v>4.2</c:v>
                </c:pt>
                <c:pt idx="2">
                  <c:v>4.4000000000000004</c:v>
                </c:pt>
                <c:pt idx="3">
                  <c:v>4.5999999999999996</c:v>
                </c:pt>
                <c:pt idx="4">
                  <c:v>2.5</c:v>
                </c:pt>
                <c:pt idx="5">
                  <c:v>2.6</c:v>
                </c:pt>
                <c:pt idx="6">
                  <c:v>2.7</c:v>
                </c:pt>
                <c:pt idx="7">
                  <c:v>2.8</c:v>
                </c:pt>
                <c:pt idx="8">
                  <c:v>2.9</c:v>
                </c:pt>
                <c:pt idx="9">
                  <c:v>15</c:v>
                </c:pt>
                <c:pt idx="10">
                  <c:v>3.3</c:v>
                </c:pt>
                <c:pt idx="11">
                  <c:v>11.399999999999999</c:v>
                </c:pt>
                <c:pt idx="12">
                  <c:v>214.5000000000002</c:v>
                </c:pt>
                <c:pt idx="13">
                  <c:v>16</c:v>
                </c:pt>
                <c:pt idx="14">
                  <c:v>12.299999999999999</c:v>
                </c:pt>
                <c:pt idx="15">
                  <c:v>4.2</c:v>
                </c:pt>
                <c:pt idx="16">
                  <c:v>17.2</c:v>
                </c:pt>
                <c:pt idx="17">
                  <c:v>4.4000000000000004</c:v>
                </c:pt>
                <c:pt idx="18">
                  <c:v>18</c:v>
                </c:pt>
                <c:pt idx="19">
                  <c:v>23</c:v>
                </c:pt>
                <c:pt idx="20">
                  <c:v>18.8</c:v>
                </c:pt>
                <c:pt idx="21">
                  <c:v>14.399999999999999</c:v>
                </c:pt>
                <c:pt idx="22">
                  <c:v>35</c:v>
                </c:pt>
              </c:numCache>
            </c:numRef>
          </c:val>
          <c:extLst>
            <c:ext xmlns:c16="http://schemas.microsoft.com/office/drawing/2014/chart" uri="{C3380CC4-5D6E-409C-BE32-E72D297353CC}">
              <c16:uniqueId val="{00000000-BBE4-4EF1-A774-A2A6C7AA14E7}"/>
            </c:ext>
          </c:extLst>
        </c:ser>
        <c:ser>
          <c:idx val="1"/>
          <c:order val="1"/>
          <c:tx>
            <c:strRef>
              <c:f>'rating and review'!$C$3</c:f>
              <c:strCache>
                <c:ptCount val="1"/>
                <c:pt idx="0">
                  <c:v>Sum of Review</c:v>
                </c:pt>
              </c:strCache>
            </c:strRef>
          </c:tx>
          <c:spPr>
            <a:solidFill>
              <a:schemeClr val="accent2"/>
            </a:solidFill>
            <a:ln>
              <a:no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review'!$C$4:$C$28</c:f>
              <c:numCache>
                <c:formatCode>General</c:formatCode>
                <c:ptCount val="24"/>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extLst>
            <c:ext xmlns:c16="http://schemas.microsoft.com/office/drawing/2014/chart" uri="{C3380CC4-5D6E-409C-BE32-E72D297353CC}">
              <c16:uniqueId val="{00000001-BBE4-4EF1-A774-A2A6C7AA14E7}"/>
            </c:ext>
          </c:extLst>
        </c:ser>
        <c:dLbls>
          <c:showLegendKey val="0"/>
          <c:showVal val="0"/>
          <c:showCatName val="0"/>
          <c:showSerName val="0"/>
          <c:showPercent val="0"/>
          <c:showBubbleSize val="0"/>
        </c:dLbls>
        <c:gapWidth val="219"/>
        <c:overlap val="-27"/>
        <c:axId val="961886240"/>
        <c:axId val="961868000"/>
      </c:barChart>
      <c:catAx>
        <c:axId val="9618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68000"/>
        <c:crosses val="autoZero"/>
        <c:auto val="1"/>
        <c:lblAlgn val="ctr"/>
        <c:lblOffset val="100"/>
        <c:noMultiLvlLbl val="0"/>
      </c:catAx>
      <c:valAx>
        <c:axId val="96186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jumia.csv.xlsx]Sheet10!PivotTable6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and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Sheet10!$B$4:$B$12</c:f>
              <c:numCache>
                <c:formatCode>General</c:formatCode>
                <c:ptCount val="8"/>
                <c:pt idx="1">
                  <c:v>15</c:v>
                </c:pt>
                <c:pt idx="2">
                  <c:v>36</c:v>
                </c:pt>
                <c:pt idx="3">
                  <c:v>191</c:v>
                </c:pt>
                <c:pt idx="4">
                  <c:v>183</c:v>
                </c:pt>
                <c:pt idx="5">
                  <c:v>222</c:v>
                </c:pt>
                <c:pt idx="6">
                  <c:v>76</c:v>
                </c:pt>
                <c:pt idx="7">
                  <c:v>0</c:v>
                </c:pt>
              </c:numCache>
            </c:numRef>
          </c:val>
          <c:extLst>
            <c:ext xmlns:c16="http://schemas.microsoft.com/office/drawing/2014/chart" uri="{C3380CC4-5D6E-409C-BE32-E72D297353CC}">
              <c16:uniqueId val="{00000000-6CC5-4FB9-855D-3927C2C8F6B3}"/>
            </c:ext>
          </c:extLst>
        </c:ser>
        <c:dLbls>
          <c:showLegendKey val="0"/>
          <c:showVal val="0"/>
          <c:showCatName val="0"/>
          <c:showSerName val="0"/>
          <c:showPercent val="0"/>
          <c:showBubbleSize val="0"/>
        </c:dLbls>
        <c:gapWidth val="150"/>
        <c:axId val="1221366128"/>
        <c:axId val="1221369488"/>
      </c:barChart>
      <c:catAx>
        <c:axId val="122136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69488"/>
        <c:crosses val="autoZero"/>
        <c:auto val="1"/>
        <c:lblAlgn val="ctr"/>
        <c:lblOffset val="100"/>
        <c:noMultiLvlLbl val="0"/>
      </c:catAx>
      <c:valAx>
        <c:axId val="12213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jumia.csv.xlsx]rating and review!PivotTable4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and review'!$B$3</c:f>
              <c:strCache>
                <c:ptCount val="1"/>
                <c:pt idx="0">
                  <c:v>Sum of Rating(out of 5)</c:v>
                </c:pt>
              </c:strCache>
            </c:strRef>
          </c:tx>
          <c:spPr>
            <a:solidFill>
              <a:schemeClr val="accent1"/>
            </a:solidFill>
            <a:ln>
              <a:no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review'!$B$4:$B$28</c:f>
              <c:numCache>
                <c:formatCode>General</c:formatCode>
                <c:ptCount val="24"/>
                <c:pt idx="0">
                  <c:v>2</c:v>
                </c:pt>
                <c:pt idx="1">
                  <c:v>4.2</c:v>
                </c:pt>
                <c:pt idx="2">
                  <c:v>4.4000000000000004</c:v>
                </c:pt>
                <c:pt idx="3">
                  <c:v>4.5999999999999996</c:v>
                </c:pt>
                <c:pt idx="4">
                  <c:v>2.5</c:v>
                </c:pt>
                <c:pt idx="5">
                  <c:v>2.6</c:v>
                </c:pt>
                <c:pt idx="6">
                  <c:v>2.7</c:v>
                </c:pt>
                <c:pt idx="7">
                  <c:v>2.8</c:v>
                </c:pt>
                <c:pt idx="8">
                  <c:v>2.9</c:v>
                </c:pt>
                <c:pt idx="9">
                  <c:v>15</c:v>
                </c:pt>
                <c:pt idx="10">
                  <c:v>3.3</c:v>
                </c:pt>
                <c:pt idx="11">
                  <c:v>11.399999999999999</c:v>
                </c:pt>
                <c:pt idx="12">
                  <c:v>214.5000000000002</c:v>
                </c:pt>
                <c:pt idx="13">
                  <c:v>16</c:v>
                </c:pt>
                <c:pt idx="14">
                  <c:v>12.299999999999999</c:v>
                </c:pt>
                <c:pt idx="15">
                  <c:v>4.2</c:v>
                </c:pt>
                <c:pt idx="16">
                  <c:v>17.2</c:v>
                </c:pt>
                <c:pt idx="17">
                  <c:v>4.4000000000000004</c:v>
                </c:pt>
                <c:pt idx="18">
                  <c:v>18</c:v>
                </c:pt>
                <c:pt idx="19">
                  <c:v>23</c:v>
                </c:pt>
                <c:pt idx="20">
                  <c:v>18.8</c:v>
                </c:pt>
                <c:pt idx="21">
                  <c:v>14.399999999999999</c:v>
                </c:pt>
                <c:pt idx="22">
                  <c:v>35</c:v>
                </c:pt>
              </c:numCache>
            </c:numRef>
          </c:val>
          <c:extLst>
            <c:ext xmlns:c16="http://schemas.microsoft.com/office/drawing/2014/chart" uri="{C3380CC4-5D6E-409C-BE32-E72D297353CC}">
              <c16:uniqueId val="{00000000-4593-4C35-9AF9-647B09926C0E}"/>
            </c:ext>
          </c:extLst>
        </c:ser>
        <c:ser>
          <c:idx val="1"/>
          <c:order val="1"/>
          <c:tx>
            <c:strRef>
              <c:f>'rating and review'!$C$3</c:f>
              <c:strCache>
                <c:ptCount val="1"/>
                <c:pt idx="0">
                  <c:v>Sum of Review</c:v>
                </c:pt>
              </c:strCache>
            </c:strRef>
          </c:tx>
          <c:spPr>
            <a:solidFill>
              <a:schemeClr val="accent2"/>
            </a:solidFill>
            <a:ln>
              <a:noFill/>
            </a:ln>
            <a:effectLst/>
          </c:spPr>
          <c:invertIfNegative val="0"/>
          <c:cat>
            <c:strRef>
              <c:f>'rating and review'!$A$4:$A$28</c:f>
              <c:strCache>
                <c:ptCount val="24"/>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pt idx="23">
                  <c:v>(blank)</c:v>
                </c:pt>
              </c:strCache>
            </c:strRef>
          </c:cat>
          <c:val>
            <c:numRef>
              <c:f>'rating and review'!$C$4:$C$28</c:f>
              <c:numCache>
                <c:formatCode>General</c:formatCode>
                <c:ptCount val="24"/>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extLst>
            <c:ext xmlns:c16="http://schemas.microsoft.com/office/drawing/2014/chart" uri="{C3380CC4-5D6E-409C-BE32-E72D297353CC}">
              <c16:uniqueId val="{00000002-4593-4C35-9AF9-647B09926C0E}"/>
            </c:ext>
          </c:extLst>
        </c:ser>
        <c:dLbls>
          <c:showLegendKey val="0"/>
          <c:showVal val="0"/>
          <c:showCatName val="0"/>
          <c:showSerName val="0"/>
          <c:showPercent val="0"/>
          <c:showBubbleSize val="0"/>
        </c:dLbls>
        <c:gapWidth val="219"/>
        <c:overlap val="-27"/>
        <c:axId val="961886240"/>
        <c:axId val="961868000"/>
      </c:barChart>
      <c:catAx>
        <c:axId val="9618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68000"/>
        <c:crosses val="autoZero"/>
        <c:auto val="1"/>
        <c:lblAlgn val="ctr"/>
        <c:lblOffset val="100"/>
        <c:noMultiLvlLbl val="0"/>
      </c:catAx>
      <c:valAx>
        <c:axId val="96186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jumia.csv.xlsx]Sheet8!PivotTable5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Sheet8!$A$4:$A$117</c:f>
              <c:strCache>
                <c:ptCount val="113"/>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pt idx="51">
                  <c:v>1052</c:v>
                </c:pt>
                <c:pt idx="52">
                  <c:v>1053</c:v>
                </c:pt>
                <c:pt idx="53">
                  <c:v>1054</c:v>
                </c:pt>
                <c:pt idx="54">
                  <c:v>1055</c:v>
                </c:pt>
                <c:pt idx="55">
                  <c:v>1056</c:v>
                </c:pt>
                <c:pt idx="56">
                  <c:v>1057</c:v>
                </c:pt>
                <c:pt idx="57">
                  <c:v>1058</c:v>
                </c:pt>
                <c:pt idx="58">
                  <c:v>1059</c:v>
                </c:pt>
                <c:pt idx="59">
                  <c:v>1060</c:v>
                </c:pt>
                <c:pt idx="60">
                  <c:v>1061</c:v>
                </c:pt>
                <c:pt idx="61">
                  <c:v>1062</c:v>
                </c:pt>
                <c:pt idx="62">
                  <c:v>1063</c:v>
                </c:pt>
                <c:pt idx="63">
                  <c:v>1064</c:v>
                </c:pt>
                <c:pt idx="64">
                  <c:v>1065</c:v>
                </c:pt>
                <c:pt idx="65">
                  <c:v>1066</c:v>
                </c:pt>
                <c:pt idx="66">
                  <c:v>1067</c:v>
                </c:pt>
                <c:pt idx="67">
                  <c:v>1068</c:v>
                </c:pt>
                <c:pt idx="68">
                  <c:v>1069</c:v>
                </c:pt>
                <c:pt idx="69">
                  <c:v>1070</c:v>
                </c:pt>
                <c:pt idx="70">
                  <c:v>1071</c:v>
                </c:pt>
                <c:pt idx="71">
                  <c:v>1072</c:v>
                </c:pt>
                <c:pt idx="72">
                  <c:v>1073</c:v>
                </c:pt>
                <c:pt idx="73">
                  <c:v>1074</c:v>
                </c:pt>
                <c:pt idx="74">
                  <c:v>1075</c:v>
                </c:pt>
                <c:pt idx="75">
                  <c:v>1076</c:v>
                </c:pt>
                <c:pt idx="76">
                  <c:v>1077</c:v>
                </c:pt>
                <c:pt idx="77">
                  <c:v>1078</c:v>
                </c:pt>
                <c:pt idx="78">
                  <c:v>1079</c:v>
                </c:pt>
                <c:pt idx="79">
                  <c:v>1080</c:v>
                </c:pt>
                <c:pt idx="80">
                  <c:v>1081</c:v>
                </c:pt>
                <c:pt idx="81">
                  <c:v>1082</c:v>
                </c:pt>
                <c:pt idx="82">
                  <c:v>1083</c:v>
                </c:pt>
                <c:pt idx="83">
                  <c:v>1084</c:v>
                </c:pt>
                <c:pt idx="84">
                  <c:v>1085</c:v>
                </c:pt>
                <c:pt idx="85">
                  <c:v>1086</c:v>
                </c:pt>
                <c:pt idx="86">
                  <c:v>1087</c:v>
                </c:pt>
                <c:pt idx="87">
                  <c:v>1088</c:v>
                </c:pt>
                <c:pt idx="88">
                  <c:v>1089</c:v>
                </c:pt>
                <c:pt idx="89">
                  <c:v>1090</c:v>
                </c:pt>
                <c:pt idx="90">
                  <c:v>1091</c:v>
                </c:pt>
                <c:pt idx="91">
                  <c:v>1092</c:v>
                </c:pt>
                <c:pt idx="92">
                  <c:v>1093</c:v>
                </c:pt>
                <c:pt idx="93">
                  <c:v>1094</c:v>
                </c:pt>
                <c:pt idx="94">
                  <c:v>1095</c:v>
                </c:pt>
                <c:pt idx="95">
                  <c:v>1096</c:v>
                </c:pt>
                <c:pt idx="96">
                  <c:v>1097</c:v>
                </c:pt>
                <c:pt idx="97">
                  <c:v>1098</c:v>
                </c:pt>
                <c:pt idx="98">
                  <c:v>1099</c:v>
                </c:pt>
                <c:pt idx="99">
                  <c:v>1100</c:v>
                </c:pt>
                <c:pt idx="100">
                  <c:v>1101</c:v>
                </c:pt>
                <c:pt idx="101">
                  <c:v>1102</c:v>
                </c:pt>
                <c:pt idx="102">
                  <c:v>1103</c:v>
                </c:pt>
                <c:pt idx="103">
                  <c:v>1104</c:v>
                </c:pt>
                <c:pt idx="104">
                  <c:v>1105</c:v>
                </c:pt>
                <c:pt idx="105">
                  <c:v>1106</c:v>
                </c:pt>
                <c:pt idx="106">
                  <c:v>1107</c:v>
                </c:pt>
                <c:pt idx="107">
                  <c:v>1108</c:v>
                </c:pt>
                <c:pt idx="108">
                  <c:v>1109</c:v>
                </c:pt>
                <c:pt idx="109">
                  <c:v>1110</c:v>
                </c:pt>
                <c:pt idx="110">
                  <c:v>1111</c:v>
                </c:pt>
                <c:pt idx="111">
                  <c:v>1112</c:v>
                </c:pt>
                <c:pt idx="112">
                  <c:v>(blank)</c:v>
                </c:pt>
              </c:strCache>
            </c:strRef>
          </c:cat>
          <c:val>
            <c:numRef>
              <c:f>Sheet8!$B$4:$B$117</c:f>
              <c:numCache>
                <c:formatCode>General</c:formatCode>
                <c:ptCount val="113"/>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3.9</c:v>
                </c:pt>
                <c:pt idx="22">
                  <c:v>4</c:v>
                </c:pt>
                <c:pt idx="23">
                  <c:v>4.4000000000000004</c:v>
                </c:pt>
                <c:pt idx="24">
                  <c:v>4.3</c:v>
                </c:pt>
                <c:pt idx="25">
                  <c:v>4.5999999999999996</c:v>
                </c:pt>
                <c:pt idx="26">
                  <c:v>3.8</c:v>
                </c:pt>
                <c:pt idx="27">
                  <c:v>3.8</c:v>
                </c:pt>
                <c:pt idx="28">
                  <c:v>4.0999999999999996</c:v>
                </c:pt>
                <c:pt idx="29">
                  <c:v>3.9</c:v>
                </c:pt>
                <c:pt idx="30">
                  <c:v>4.3</c:v>
                </c:pt>
                <c:pt idx="31">
                  <c:v>4.7</c:v>
                </c:pt>
                <c:pt idx="32">
                  <c:v>4.3</c:v>
                </c:pt>
                <c:pt idx="33">
                  <c:v>4.7</c:v>
                </c:pt>
                <c:pt idx="34">
                  <c:v>4.5</c:v>
                </c:pt>
                <c:pt idx="35">
                  <c:v>5</c:v>
                </c:pt>
                <c:pt idx="36">
                  <c:v>5</c:v>
                </c:pt>
                <c:pt idx="37">
                  <c:v>4.3</c:v>
                </c:pt>
                <c:pt idx="38">
                  <c:v>4.5</c:v>
                </c:pt>
                <c:pt idx="39">
                  <c:v>3.9</c:v>
                </c:pt>
                <c:pt idx="40">
                  <c:v>3.9</c:v>
                </c:pt>
                <c:pt idx="41">
                  <c:v>3.9</c:v>
                </c:pt>
                <c:pt idx="42">
                  <c:v>3.9</c:v>
                </c:pt>
                <c:pt idx="43">
                  <c:v>3.9</c:v>
                </c:pt>
                <c:pt idx="44">
                  <c:v>3.9</c:v>
                </c:pt>
                <c:pt idx="45">
                  <c:v>3.9</c:v>
                </c:pt>
                <c:pt idx="46">
                  <c:v>3.9</c:v>
                </c:pt>
                <c:pt idx="47">
                  <c:v>3.9</c:v>
                </c:pt>
                <c:pt idx="48">
                  <c:v>3.9</c:v>
                </c:pt>
                <c:pt idx="49">
                  <c:v>3.9</c:v>
                </c:pt>
                <c:pt idx="50">
                  <c:v>3.9</c:v>
                </c:pt>
                <c:pt idx="51">
                  <c:v>3.9</c:v>
                </c:pt>
                <c:pt idx="52">
                  <c:v>3.9</c:v>
                </c:pt>
                <c:pt idx="53">
                  <c:v>3.9</c:v>
                </c:pt>
                <c:pt idx="54">
                  <c:v>3.9</c:v>
                </c:pt>
                <c:pt idx="55">
                  <c:v>3.9</c:v>
                </c:pt>
                <c:pt idx="56">
                  <c:v>3.9</c:v>
                </c:pt>
                <c:pt idx="57">
                  <c:v>3.9</c:v>
                </c:pt>
                <c:pt idx="58">
                  <c:v>3.9</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3.9</c:v>
                </c:pt>
                <c:pt idx="75">
                  <c:v>3.9</c:v>
                </c:pt>
                <c:pt idx="76">
                  <c:v>3.9</c:v>
                </c:pt>
                <c:pt idx="77">
                  <c:v>3.9</c:v>
                </c:pt>
                <c:pt idx="78">
                  <c:v>3</c:v>
                </c:pt>
                <c:pt idx="79">
                  <c:v>5</c:v>
                </c:pt>
                <c:pt idx="80">
                  <c:v>3.9</c:v>
                </c:pt>
                <c:pt idx="81">
                  <c:v>3.9</c:v>
                </c:pt>
                <c:pt idx="82">
                  <c:v>4</c:v>
                </c:pt>
                <c:pt idx="83">
                  <c:v>3.9</c:v>
                </c:pt>
                <c:pt idx="84">
                  <c:v>3.9</c:v>
                </c:pt>
                <c:pt idx="85">
                  <c:v>3.9</c:v>
                </c:pt>
                <c:pt idx="86">
                  <c:v>3.9</c:v>
                </c:pt>
                <c:pt idx="87">
                  <c:v>3.9</c:v>
                </c:pt>
                <c:pt idx="88">
                  <c:v>3.9</c:v>
                </c:pt>
                <c:pt idx="89">
                  <c:v>3.9</c:v>
                </c:pt>
                <c:pt idx="90">
                  <c:v>3.9</c:v>
                </c:pt>
                <c:pt idx="91">
                  <c:v>3.9</c:v>
                </c:pt>
                <c:pt idx="92">
                  <c:v>3.9</c:v>
                </c:pt>
                <c:pt idx="93">
                  <c:v>3.9</c:v>
                </c:pt>
                <c:pt idx="94">
                  <c:v>3.9</c:v>
                </c:pt>
                <c:pt idx="95">
                  <c:v>3.9</c:v>
                </c:pt>
                <c:pt idx="96">
                  <c:v>3.9</c:v>
                </c:pt>
                <c:pt idx="97">
                  <c:v>3.9</c:v>
                </c:pt>
                <c:pt idx="98">
                  <c:v>3.9</c:v>
                </c:pt>
                <c:pt idx="99">
                  <c:v>3.9</c:v>
                </c:pt>
                <c:pt idx="100">
                  <c:v>3.9</c:v>
                </c:pt>
                <c:pt idx="101">
                  <c:v>5</c:v>
                </c:pt>
                <c:pt idx="102">
                  <c:v>3.9</c:v>
                </c:pt>
                <c:pt idx="103">
                  <c:v>3.9</c:v>
                </c:pt>
                <c:pt idx="104">
                  <c:v>3.9</c:v>
                </c:pt>
                <c:pt idx="105">
                  <c:v>3.9</c:v>
                </c:pt>
                <c:pt idx="106">
                  <c:v>3.9</c:v>
                </c:pt>
                <c:pt idx="107">
                  <c:v>3.9</c:v>
                </c:pt>
                <c:pt idx="108">
                  <c:v>3.9</c:v>
                </c:pt>
                <c:pt idx="109">
                  <c:v>3.9</c:v>
                </c:pt>
                <c:pt idx="110">
                  <c:v>2</c:v>
                </c:pt>
                <c:pt idx="111">
                  <c:v>3.9</c:v>
                </c:pt>
              </c:numCache>
            </c:numRef>
          </c:val>
          <c:extLst>
            <c:ext xmlns:c16="http://schemas.microsoft.com/office/drawing/2014/chart" uri="{C3380CC4-5D6E-409C-BE32-E72D297353CC}">
              <c16:uniqueId val="{00000000-A27B-4ACC-AEDD-F8CE148353B3}"/>
            </c:ext>
          </c:extLst>
        </c:ser>
        <c:dLbls>
          <c:showLegendKey val="0"/>
          <c:showVal val="0"/>
          <c:showCatName val="0"/>
          <c:showSerName val="0"/>
          <c:showPercent val="0"/>
          <c:showBubbleSize val="0"/>
        </c:dLbls>
        <c:gapWidth val="219"/>
        <c:overlap val="-27"/>
        <c:axId val="961870880"/>
        <c:axId val="961887200"/>
      </c:barChart>
      <c:catAx>
        <c:axId val="96187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87200"/>
        <c:crosses val="autoZero"/>
        <c:auto val="1"/>
        <c:lblAlgn val="ctr"/>
        <c:lblOffset val="100"/>
        <c:noMultiLvlLbl val="0"/>
      </c:catAx>
      <c:valAx>
        <c:axId val="96188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ya jumia.csv.xlsx]Sheet10!PivotTable6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cat>
            <c:strRef>
              <c:f>Sheet10!$A$4:$A$12</c:f>
              <c:strCache>
                <c:ptCount val="8"/>
                <c:pt idx="0">
                  <c:v>(blank)</c:v>
                </c:pt>
                <c:pt idx="1">
                  <c:v>0.0126382306477093-0.112638230647709</c:v>
                </c:pt>
                <c:pt idx="2">
                  <c:v>0.112638230647709-0.212638230647709</c:v>
                </c:pt>
                <c:pt idx="3">
                  <c:v>0.212638230647709-0.312638230647709</c:v>
                </c:pt>
                <c:pt idx="4">
                  <c:v>0.312638230647709-0.412638230647709</c:v>
                </c:pt>
                <c:pt idx="5">
                  <c:v>0.412638230647709-0.512638230647709</c:v>
                </c:pt>
                <c:pt idx="6">
                  <c:v>0.512638230647709-0.612638230647709</c:v>
                </c:pt>
                <c:pt idx="7">
                  <c:v>0.612638230647709-0.712638230647709</c:v>
                </c:pt>
              </c:strCache>
            </c:strRef>
          </c:cat>
          <c:val>
            <c:numRef>
              <c:f>Sheet10!$B$4:$B$12</c:f>
              <c:numCache>
                <c:formatCode>General</c:formatCode>
                <c:ptCount val="8"/>
                <c:pt idx="1">
                  <c:v>15</c:v>
                </c:pt>
                <c:pt idx="2">
                  <c:v>36</c:v>
                </c:pt>
                <c:pt idx="3">
                  <c:v>191</c:v>
                </c:pt>
                <c:pt idx="4">
                  <c:v>183</c:v>
                </c:pt>
                <c:pt idx="5">
                  <c:v>222</c:v>
                </c:pt>
                <c:pt idx="6">
                  <c:v>76</c:v>
                </c:pt>
                <c:pt idx="7">
                  <c:v>0</c:v>
                </c:pt>
              </c:numCache>
            </c:numRef>
          </c:val>
          <c:smooth val="0"/>
          <c:extLst>
            <c:ext xmlns:c16="http://schemas.microsoft.com/office/drawing/2014/chart" uri="{C3380CC4-5D6E-409C-BE32-E72D297353CC}">
              <c16:uniqueId val="{00000000-FA5E-432B-983A-C9070B25B0B9}"/>
            </c:ext>
          </c:extLst>
        </c:ser>
        <c:dLbls>
          <c:showLegendKey val="0"/>
          <c:showVal val="0"/>
          <c:showCatName val="0"/>
          <c:showSerName val="0"/>
          <c:showPercent val="0"/>
          <c:showBubbleSize val="0"/>
        </c:dLbls>
        <c:smooth val="0"/>
        <c:axId val="1221366128"/>
        <c:axId val="1221369488"/>
      </c:lineChart>
      <c:catAx>
        <c:axId val="122136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69488"/>
        <c:crosses val="autoZero"/>
        <c:auto val="1"/>
        <c:lblAlgn val="ctr"/>
        <c:lblOffset val="100"/>
        <c:noMultiLvlLbl val="0"/>
      </c:catAx>
      <c:valAx>
        <c:axId val="12213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815975</xdr:colOff>
      <xdr:row>1</xdr:row>
      <xdr:rowOff>53975</xdr:rowOff>
    </xdr:from>
    <xdr:to>
      <xdr:col>9</xdr:col>
      <xdr:colOff>307975</xdr:colOff>
      <xdr:row>16</xdr:row>
      <xdr:rowOff>34925</xdr:rowOff>
    </xdr:to>
    <xdr:graphicFrame macro="">
      <xdr:nvGraphicFramePr>
        <xdr:cNvPr id="2" name="Chart 1">
          <a:extLst>
            <a:ext uri="{FF2B5EF4-FFF2-40B4-BE49-F238E27FC236}">
              <a16:creationId xmlns:a16="http://schemas.microsoft.com/office/drawing/2014/main" id="{34DB011D-DD5A-975A-62A3-2ED9B95BB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57150</xdr:colOff>
      <xdr:row>0</xdr:row>
      <xdr:rowOff>114300</xdr:rowOff>
    </xdr:from>
    <xdr:to>
      <xdr:col>14</xdr:col>
      <xdr:colOff>57150</xdr:colOff>
      <xdr:row>14</xdr:row>
      <xdr:rowOff>60325</xdr:rowOff>
    </xdr:to>
    <mc:AlternateContent xmlns:mc="http://schemas.openxmlformats.org/markup-compatibility/2006" xmlns:a14="http://schemas.microsoft.com/office/drawing/2010/main">
      <mc:Choice Requires="a14">
        <xdr:graphicFrame macro="">
          <xdr:nvGraphicFramePr>
            <xdr:cNvPr id="2" name="ITEM ID">
              <a:extLst>
                <a:ext uri="{FF2B5EF4-FFF2-40B4-BE49-F238E27FC236}">
                  <a16:creationId xmlns:a16="http://schemas.microsoft.com/office/drawing/2014/main" id="{95AA7397-D7BB-A6C0-F25F-DE3C00FAC018}"/>
                </a:ext>
              </a:extLst>
            </xdr:cNvPr>
            <xdr:cNvGraphicFramePr/>
          </xdr:nvGraphicFramePr>
          <xdr:xfrm>
            <a:off x="0" y="0"/>
            <a:ext cx="0" cy="0"/>
          </xdr:xfrm>
          <a:graphic>
            <a:graphicData uri="http://schemas.microsoft.com/office/drawing/2010/slicer">
              <sle:slicer xmlns:sle="http://schemas.microsoft.com/office/drawing/2010/slicer" name="ITEM ID"/>
            </a:graphicData>
          </a:graphic>
        </xdr:graphicFrame>
      </mc:Choice>
      <mc:Fallback xmlns="">
        <xdr:sp macro="" textlink="">
          <xdr:nvSpPr>
            <xdr:cNvPr id="0" name=""/>
            <xdr:cNvSpPr>
              <a:spLocks noTextEdit="1"/>
            </xdr:cNvSpPr>
          </xdr:nvSpPr>
          <xdr:spPr>
            <a:xfrm>
              <a:off x="97091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444500</xdr:colOff>
      <xdr:row>0</xdr:row>
      <xdr:rowOff>95250</xdr:rowOff>
    </xdr:from>
    <xdr:to>
      <xdr:col>7</xdr:col>
      <xdr:colOff>444500</xdr:colOff>
      <xdr:row>14</xdr:row>
      <xdr:rowOff>41275</xdr:rowOff>
    </xdr:to>
    <mc:AlternateContent xmlns:mc="http://schemas.openxmlformats.org/markup-compatibility/2006" xmlns:a14="http://schemas.microsoft.com/office/drawing/2010/main">
      <mc:Choice Requires="a14">
        <xdr:graphicFrame macro="">
          <xdr:nvGraphicFramePr>
            <xdr:cNvPr id="3" name="Discount">
              <a:extLst>
                <a:ext uri="{FF2B5EF4-FFF2-40B4-BE49-F238E27FC236}">
                  <a16:creationId xmlns:a16="http://schemas.microsoft.com/office/drawing/2014/main" id="{F4B9C80A-EC44-85E9-7848-4BEDB484FC47}"/>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5829300"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501650</xdr:colOff>
      <xdr:row>0</xdr:row>
      <xdr:rowOff>88900</xdr:rowOff>
    </xdr:from>
    <xdr:to>
      <xdr:col>10</xdr:col>
      <xdr:colOff>501650</xdr:colOff>
      <xdr:row>14</xdr:row>
      <xdr:rowOff>34925</xdr:rowOff>
    </xdr:to>
    <mc:AlternateContent xmlns:mc="http://schemas.openxmlformats.org/markup-compatibility/2006" xmlns:a14="http://schemas.microsoft.com/office/drawing/2010/main">
      <mc:Choice Requires="a14">
        <xdr:graphicFrame macro="">
          <xdr:nvGraphicFramePr>
            <xdr:cNvPr id="4" name="Rating(out of 5)">
              <a:extLst>
                <a:ext uri="{FF2B5EF4-FFF2-40B4-BE49-F238E27FC236}">
                  <a16:creationId xmlns:a16="http://schemas.microsoft.com/office/drawing/2014/main" id="{43E2353F-D5BB-E03E-A917-FB476FDEF2C2}"/>
                </a:ext>
              </a:extLst>
            </xdr:cNvPr>
            <xdr:cNvGraphicFramePr/>
          </xdr:nvGraphicFramePr>
          <xdr:xfrm>
            <a:off x="0" y="0"/>
            <a:ext cx="0" cy="0"/>
          </xdr:xfrm>
          <a:graphic>
            <a:graphicData uri="http://schemas.microsoft.com/office/drawing/2010/slicer">
              <sle:slicer xmlns:sle="http://schemas.microsoft.com/office/drawing/2010/slicer" name="Rating(out of 5)"/>
            </a:graphicData>
          </a:graphic>
        </xdr:graphicFrame>
      </mc:Choice>
      <mc:Fallback xmlns="">
        <xdr:sp macro="" textlink="">
          <xdr:nvSpPr>
            <xdr:cNvPr id="0" name=""/>
            <xdr:cNvSpPr>
              <a:spLocks noTextEdit="1"/>
            </xdr:cNvSpPr>
          </xdr:nvSpPr>
          <xdr:spPr>
            <a:xfrm>
              <a:off x="7715250" y="88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127000</xdr:colOff>
      <xdr:row>0</xdr:row>
      <xdr:rowOff>165100</xdr:rowOff>
    </xdr:from>
    <xdr:to>
      <xdr:col>5</xdr:col>
      <xdr:colOff>127000</xdr:colOff>
      <xdr:row>14</xdr:row>
      <xdr:rowOff>111125</xdr:rowOff>
    </xdr:to>
    <mc:AlternateContent xmlns:mc="http://schemas.openxmlformats.org/markup-compatibility/2006" xmlns:a14="http://schemas.microsoft.com/office/drawing/2010/main">
      <mc:Choice Requires="a14">
        <xdr:graphicFrame macro="">
          <xdr:nvGraphicFramePr>
            <xdr:cNvPr id="5" name="ITEM ID 1">
              <a:extLst>
                <a:ext uri="{FF2B5EF4-FFF2-40B4-BE49-F238E27FC236}">
                  <a16:creationId xmlns:a16="http://schemas.microsoft.com/office/drawing/2014/main" id="{A32B46FA-AB38-595E-A93D-14FE89BEAA46}"/>
                </a:ext>
              </a:extLst>
            </xdr:cNvPr>
            <xdr:cNvGraphicFramePr/>
          </xdr:nvGraphicFramePr>
          <xdr:xfrm>
            <a:off x="0" y="0"/>
            <a:ext cx="0" cy="0"/>
          </xdr:xfrm>
          <a:graphic>
            <a:graphicData uri="http://schemas.microsoft.com/office/drawing/2010/slicer">
              <sle:slicer xmlns:sle="http://schemas.microsoft.com/office/drawing/2010/slicer" name="ITEM ID 1"/>
            </a:graphicData>
          </a:graphic>
        </xdr:graphicFrame>
      </mc:Choice>
      <mc:Fallback xmlns="">
        <xdr:sp macro="" textlink="">
          <xdr:nvSpPr>
            <xdr:cNvPr id="0" name=""/>
            <xdr:cNvSpPr>
              <a:spLocks noTextEdit="1"/>
            </xdr:cNvSpPr>
          </xdr:nvSpPr>
          <xdr:spPr>
            <a:xfrm>
              <a:off x="4292600" y="16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1330325</xdr:colOff>
      <xdr:row>4</xdr:row>
      <xdr:rowOff>104775</xdr:rowOff>
    </xdr:from>
    <xdr:to>
      <xdr:col>4</xdr:col>
      <xdr:colOff>517525</xdr:colOff>
      <xdr:row>19</xdr:row>
      <xdr:rowOff>85725</xdr:rowOff>
    </xdr:to>
    <xdr:graphicFrame macro="">
      <xdr:nvGraphicFramePr>
        <xdr:cNvPr id="6" name="Chart 5">
          <a:extLst>
            <a:ext uri="{FF2B5EF4-FFF2-40B4-BE49-F238E27FC236}">
              <a16:creationId xmlns:a16="http://schemas.microsoft.com/office/drawing/2014/main" id="{7850EF45-6B23-855F-7269-03EAC5BC3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104775</xdr:colOff>
      <xdr:row>11</xdr:row>
      <xdr:rowOff>161925</xdr:rowOff>
    </xdr:from>
    <xdr:to>
      <xdr:col>25</xdr:col>
      <xdr:colOff>149225</xdr:colOff>
      <xdr:row>26</xdr:row>
      <xdr:rowOff>142875</xdr:rowOff>
    </xdr:to>
    <xdr:graphicFrame macro="">
      <xdr:nvGraphicFramePr>
        <xdr:cNvPr id="2" name="Chart 1">
          <a:extLst>
            <a:ext uri="{FF2B5EF4-FFF2-40B4-BE49-F238E27FC236}">
              <a16:creationId xmlns:a16="http://schemas.microsoft.com/office/drawing/2014/main" id="{DB6B1207-FB2E-DD80-4522-E729DDE1B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374650</xdr:colOff>
      <xdr:row>1</xdr:row>
      <xdr:rowOff>9525</xdr:rowOff>
    </xdr:from>
    <xdr:to>
      <xdr:col>11</xdr:col>
      <xdr:colOff>69850</xdr:colOff>
      <xdr:row>15</xdr:row>
      <xdr:rowOff>174625</xdr:rowOff>
    </xdr:to>
    <xdr:graphicFrame macro="">
      <xdr:nvGraphicFramePr>
        <xdr:cNvPr id="3" name="Chart 2">
          <a:extLst>
            <a:ext uri="{FF2B5EF4-FFF2-40B4-BE49-F238E27FC236}">
              <a16:creationId xmlns:a16="http://schemas.microsoft.com/office/drawing/2014/main" id="{180C3293-0A39-61FE-F160-F0A54754B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533589</xdr:colOff>
      <xdr:row>0</xdr:row>
      <xdr:rowOff>0</xdr:rowOff>
    </xdr:from>
    <xdr:to>
      <xdr:col>20</xdr:col>
      <xdr:colOff>349116</xdr:colOff>
      <xdr:row>10</xdr:row>
      <xdr:rowOff>106827</xdr:rowOff>
    </xdr:to>
    <xdr:sp macro="" textlink="">
      <xdr:nvSpPr>
        <xdr:cNvPr id="2" name="Rectangle: Rounded Corners 1">
          <a:extLst>
            <a:ext uri="{FF2B5EF4-FFF2-40B4-BE49-F238E27FC236}">
              <a16:creationId xmlns:a16="http://schemas.microsoft.com/office/drawing/2014/main" id="{A30E0BA9-3C05-C83F-8634-CC2D34005BE3}"/>
            </a:ext>
          </a:extLst>
        </xdr:cNvPr>
        <xdr:cNvSpPr/>
      </xdr:nvSpPr>
      <xdr:spPr>
        <a:xfrm>
          <a:off x="5980698" y="0"/>
          <a:ext cx="6473106" cy="1991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rgbClr val="FF0000"/>
              </a:solidFill>
            </a:rPr>
            <a:t>JUMIA  PERFORMANCE</a:t>
          </a:r>
          <a:r>
            <a:rPr lang="en-US" sz="3200" baseline="0">
              <a:solidFill>
                <a:srgbClr val="FF0000"/>
              </a:solidFill>
            </a:rPr>
            <a:t> DASHBORD</a:t>
          </a:r>
          <a:endParaRPr lang="en-US" sz="3200">
            <a:solidFill>
              <a:srgbClr val="FF0000"/>
            </a:solidFill>
          </a:endParaRPr>
        </a:p>
      </xdr:txBody>
    </xdr:sp>
    <xdr:clientData/>
  </xdr:twoCellAnchor>
  <xdr:twoCellAnchor>
    <xdr:from>
      <xdr:col>7</xdr:col>
      <xdr:colOff>211117</xdr:colOff>
      <xdr:row>26</xdr:row>
      <xdr:rowOff>54586</xdr:rowOff>
    </xdr:from>
    <xdr:to>
      <xdr:col>14</xdr:col>
      <xdr:colOff>488795</xdr:colOff>
      <xdr:row>41</xdr:row>
      <xdr:rowOff>53294</xdr:rowOff>
    </xdr:to>
    <xdr:graphicFrame macro="">
      <xdr:nvGraphicFramePr>
        <xdr:cNvPr id="4" name="Chart 3">
          <a:extLst>
            <a:ext uri="{FF2B5EF4-FFF2-40B4-BE49-F238E27FC236}">
              <a16:creationId xmlns:a16="http://schemas.microsoft.com/office/drawing/2014/main" id="{2EDDB1FB-F745-4F7D-B626-27828C510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470177</xdr:colOff>
      <xdr:row>12</xdr:row>
      <xdr:rowOff>21526</xdr:rowOff>
    </xdr:from>
    <xdr:to>
      <xdr:col>3</xdr:col>
      <xdr:colOff>458553</xdr:colOff>
      <xdr:row>25</xdr:row>
      <xdr:rowOff>167091</xdr:rowOff>
    </xdr:to>
    <mc:AlternateContent xmlns:mc="http://schemas.openxmlformats.org/markup-compatibility/2006" xmlns:a14="http://schemas.microsoft.com/office/drawing/2010/main">
      <mc:Choice Requires="a14">
        <xdr:graphicFrame macro="">
          <xdr:nvGraphicFramePr>
            <xdr:cNvPr id="5" name="ITEM ID 2">
              <a:extLst>
                <a:ext uri="{FF2B5EF4-FFF2-40B4-BE49-F238E27FC236}">
                  <a16:creationId xmlns:a16="http://schemas.microsoft.com/office/drawing/2014/main" id="{B2F90B47-855E-47A2-ACB4-DB865197A6B2}"/>
                </a:ext>
              </a:extLst>
            </xdr:cNvPr>
            <xdr:cNvGraphicFramePr/>
          </xdr:nvGraphicFramePr>
          <xdr:xfrm>
            <a:off x="0" y="0"/>
            <a:ext cx="0" cy="0"/>
          </xdr:xfrm>
          <a:graphic>
            <a:graphicData uri="http://schemas.microsoft.com/office/drawing/2010/slicer">
              <sle:slicer xmlns:sle="http://schemas.microsoft.com/office/drawing/2010/slicer" name="ITEM ID 2"/>
            </a:graphicData>
          </a:graphic>
        </xdr:graphicFrame>
      </mc:Choice>
      <mc:Fallback xmlns="">
        <xdr:sp macro="" textlink="">
          <xdr:nvSpPr>
            <xdr:cNvPr id="0" name=""/>
            <xdr:cNvSpPr>
              <a:spLocks noTextEdit="1"/>
            </xdr:cNvSpPr>
          </xdr:nvSpPr>
          <xdr:spPr>
            <a:xfrm>
              <a:off x="470177" y="2307526"/>
              <a:ext cx="1817176" cy="2622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134264</xdr:colOff>
      <xdr:row>26</xdr:row>
      <xdr:rowOff>31750</xdr:rowOff>
    </xdr:from>
    <xdr:to>
      <xdr:col>3</xdr:col>
      <xdr:colOff>444499</xdr:colOff>
      <xdr:row>39</xdr:row>
      <xdr:rowOff>158750</xdr:rowOff>
    </xdr:to>
    <mc:AlternateContent xmlns:mc="http://schemas.openxmlformats.org/markup-compatibility/2006" xmlns:a14="http://schemas.microsoft.com/office/drawing/2010/main">
      <mc:Choice Requires="a14">
        <xdr:graphicFrame macro="">
          <xdr:nvGraphicFramePr>
            <xdr:cNvPr id="6" name="Discount 1">
              <a:extLst>
                <a:ext uri="{FF2B5EF4-FFF2-40B4-BE49-F238E27FC236}">
                  <a16:creationId xmlns:a16="http://schemas.microsoft.com/office/drawing/2014/main" id="{AD20C883-5C1B-4658-AE0B-1BC006BDF93A}"/>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34264" y="4984750"/>
              <a:ext cx="2139035" cy="260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534477</xdr:colOff>
      <xdr:row>26</xdr:row>
      <xdr:rowOff>20864</xdr:rowOff>
    </xdr:from>
    <xdr:to>
      <xdr:col>6</xdr:col>
      <xdr:colOff>522853</xdr:colOff>
      <xdr:row>39</xdr:row>
      <xdr:rowOff>157359</xdr:rowOff>
    </xdr:to>
    <mc:AlternateContent xmlns:mc="http://schemas.openxmlformats.org/markup-compatibility/2006" xmlns:a14="http://schemas.microsoft.com/office/drawing/2010/main">
      <mc:Choice Requires="a14">
        <xdr:graphicFrame macro="">
          <xdr:nvGraphicFramePr>
            <xdr:cNvPr id="7" name="ITEM ID 3">
              <a:extLst>
                <a:ext uri="{FF2B5EF4-FFF2-40B4-BE49-F238E27FC236}">
                  <a16:creationId xmlns:a16="http://schemas.microsoft.com/office/drawing/2014/main" id="{13A19928-D46C-4C5D-BDC6-5FDDB0906552}"/>
                </a:ext>
              </a:extLst>
            </xdr:cNvPr>
            <xdr:cNvGraphicFramePr/>
          </xdr:nvGraphicFramePr>
          <xdr:xfrm>
            <a:off x="0" y="0"/>
            <a:ext cx="0" cy="0"/>
          </xdr:xfrm>
          <a:graphic>
            <a:graphicData uri="http://schemas.microsoft.com/office/drawing/2010/slicer">
              <sle:slicer xmlns:sle="http://schemas.microsoft.com/office/drawing/2010/slicer" name="ITEM ID 3"/>
            </a:graphicData>
          </a:graphic>
        </xdr:graphicFrame>
      </mc:Choice>
      <mc:Fallback xmlns="">
        <xdr:sp macro="" textlink="">
          <xdr:nvSpPr>
            <xdr:cNvPr id="0" name=""/>
            <xdr:cNvSpPr>
              <a:spLocks noTextEdit="1"/>
            </xdr:cNvSpPr>
          </xdr:nvSpPr>
          <xdr:spPr>
            <a:xfrm>
              <a:off x="2363277" y="4973864"/>
              <a:ext cx="1817176" cy="2612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537483</xdr:colOff>
      <xdr:row>12</xdr:row>
      <xdr:rowOff>15875</xdr:rowOff>
    </xdr:from>
    <xdr:to>
      <xdr:col>6</xdr:col>
      <xdr:colOff>536083</xdr:colOff>
      <xdr:row>25</xdr:row>
      <xdr:rowOff>161441</xdr:rowOff>
    </xdr:to>
    <mc:AlternateContent xmlns:mc="http://schemas.openxmlformats.org/markup-compatibility/2006" xmlns:a14="http://schemas.microsoft.com/office/drawing/2010/main">
      <mc:Choice Requires="a14">
        <xdr:graphicFrame macro="">
          <xdr:nvGraphicFramePr>
            <xdr:cNvPr id="8" name="Rating(out of 5) 1">
              <a:extLst>
                <a:ext uri="{FF2B5EF4-FFF2-40B4-BE49-F238E27FC236}">
                  <a16:creationId xmlns:a16="http://schemas.microsoft.com/office/drawing/2014/main" id="{9360D1C1-A43B-4C9D-B01C-78AB9FCA3A14}"/>
                </a:ext>
              </a:extLst>
            </xdr:cNvPr>
            <xdr:cNvGraphicFramePr/>
          </xdr:nvGraphicFramePr>
          <xdr:xfrm>
            <a:off x="0" y="0"/>
            <a:ext cx="0" cy="0"/>
          </xdr:xfrm>
          <a:graphic>
            <a:graphicData uri="http://schemas.microsoft.com/office/drawing/2010/slicer">
              <sle:slicer xmlns:sle="http://schemas.microsoft.com/office/drawing/2010/slicer" name="Rating(out of 5) 1"/>
            </a:graphicData>
          </a:graphic>
        </xdr:graphicFrame>
      </mc:Choice>
      <mc:Fallback xmlns="">
        <xdr:sp macro="" textlink="">
          <xdr:nvSpPr>
            <xdr:cNvPr id="0" name=""/>
            <xdr:cNvSpPr>
              <a:spLocks noTextEdit="1"/>
            </xdr:cNvSpPr>
          </xdr:nvSpPr>
          <xdr:spPr>
            <a:xfrm>
              <a:off x="2366283" y="2301875"/>
              <a:ext cx="1827400" cy="2622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502048</xdr:colOff>
      <xdr:row>26</xdr:row>
      <xdr:rowOff>71437</xdr:rowOff>
    </xdr:from>
    <xdr:to>
      <xdr:col>22</xdr:col>
      <xdr:colOff>246063</xdr:colOff>
      <xdr:row>40</xdr:row>
      <xdr:rowOff>141287</xdr:rowOff>
    </xdr:to>
    <xdr:graphicFrame macro="">
      <xdr:nvGraphicFramePr>
        <xdr:cNvPr id="12" name="Chart 11">
          <a:extLst>
            <a:ext uri="{FF2B5EF4-FFF2-40B4-BE49-F238E27FC236}">
              <a16:creationId xmlns:a16="http://schemas.microsoft.com/office/drawing/2014/main" id="{C29D90A7-6D80-42A7-8326-4D47367F2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196168</xdr:colOff>
      <xdr:row>11</xdr:row>
      <xdr:rowOff>120764</xdr:rowOff>
    </xdr:from>
    <xdr:to>
      <xdr:col>14</xdr:col>
      <xdr:colOff>543151</xdr:colOff>
      <xdr:row>26</xdr:row>
      <xdr:rowOff>36230</xdr:rowOff>
    </xdr:to>
    <xdr:graphicFrame macro="">
      <xdr:nvGraphicFramePr>
        <xdr:cNvPr id="14" name="Chart 13">
          <a:extLst>
            <a:ext uri="{FF2B5EF4-FFF2-40B4-BE49-F238E27FC236}">
              <a16:creationId xmlns:a16="http://schemas.microsoft.com/office/drawing/2014/main" id="{9C67920B-93D0-4784-95E0-1544ADC32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11</xdr:row>
      <xdr:rowOff>54429</xdr:rowOff>
    </xdr:from>
    <xdr:to>
      <xdr:col>22</xdr:col>
      <xdr:colOff>254000</xdr:colOff>
      <xdr:row>26</xdr:row>
      <xdr:rowOff>76200</xdr:rowOff>
    </xdr:to>
    <xdr:graphicFrame macro="">
      <xdr:nvGraphicFramePr>
        <xdr:cNvPr id="15" name="Chart 14">
          <a:extLst>
            <a:ext uri="{FF2B5EF4-FFF2-40B4-BE49-F238E27FC236}">
              <a16:creationId xmlns:a16="http://schemas.microsoft.com/office/drawing/2014/main" id="{6F0C2A62-3E10-4559-8C12-421FE8670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145143</xdr:colOff>
      <xdr:row>39</xdr:row>
      <xdr:rowOff>170543</xdr:rowOff>
    </xdr:from>
    <xdr:to>
      <xdr:col>5</xdr:col>
      <xdr:colOff>123371</xdr:colOff>
      <xdr:row>53</xdr:row>
      <xdr:rowOff>154668</xdr:rowOff>
    </xdr:to>
    <mc:AlternateContent xmlns:mc="http://schemas.openxmlformats.org/markup-compatibility/2006" xmlns:a14="http://schemas.microsoft.com/office/drawing/2010/main">
      <mc:Choice Requires="a14">
        <xdr:graphicFrame macro="">
          <xdr:nvGraphicFramePr>
            <xdr:cNvPr id="16" name="Review 1">
              <a:extLst>
                <a:ext uri="{FF2B5EF4-FFF2-40B4-BE49-F238E27FC236}">
                  <a16:creationId xmlns:a16="http://schemas.microsoft.com/office/drawing/2014/main" id="{D9DC4768-3872-45A4-ACB8-1E4AAF8E74BE}"/>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1364343" y="7600043"/>
              <a:ext cx="1807028" cy="265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362857</xdr:colOff>
      <xdr:row>41</xdr:row>
      <xdr:rowOff>54429</xdr:rowOff>
    </xdr:from>
    <xdr:to>
      <xdr:col>19</xdr:col>
      <xdr:colOff>0</xdr:colOff>
      <xdr:row>56</xdr:row>
      <xdr:rowOff>76200</xdr:rowOff>
    </xdr:to>
    <xdr:graphicFrame macro="">
      <xdr:nvGraphicFramePr>
        <xdr:cNvPr id="17" name="Chart 16">
          <a:extLst>
            <a:ext uri="{FF2B5EF4-FFF2-40B4-BE49-F238E27FC236}">
              <a16:creationId xmlns:a16="http://schemas.microsoft.com/office/drawing/2014/main" id="{052C9220-C13D-48C6-B231-F95F14791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69850</xdr:colOff>
      <xdr:row>1</xdr:row>
      <xdr:rowOff>161925</xdr:rowOff>
    </xdr:from>
    <xdr:to>
      <xdr:col>10</xdr:col>
      <xdr:colOff>374650</xdr:colOff>
      <xdr:row>16</xdr:row>
      <xdr:rowOff>142875</xdr:rowOff>
    </xdr:to>
    <xdr:graphicFrame macro="">
      <xdr:nvGraphicFramePr>
        <xdr:cNvPr id="2" name="Chart 1">
          <a:extLst>
            <a:ext uri="{FF2B5EF4-FFF2-40B4-BE49-F238E27FC236}">
              <a16:creationId xmlns:a16="http://schemas.microsoft.com/office/drawing/2014/main" id="{8AAE70F2-EBE7-12AA-CAD3-97A9D82F5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400050</xdr:colOff>
      <xdr:row>1</xdr:row>
      <xdr:rowOff>152400</xdr:rowOff>
    </xdr:from>
    <xdr:to>
      <xdr:col>13</xdr:col>
      <xdr:colOff>400050</xdr:colOff>
      <xdr:row>15</xdr:row>
      <xdr:rowOff>98425</xdr:rowOff>
    </xdr:to>
    <mc:AlternateContent xmlns:mc="http://schemas.openxmlformats.org/markup-compatibility/2006" xmlns:a14="http://schemas.microsoft.com/office/drawing/2010/main">
      <mc:Choice Requires="a14">
        <xdr:graphicFrame macro="">
          <xdr:nvGraphicFramePr>
            <xdr:cNvPr id="4" name="Review">
              <a:extLst>
                <a:ext uri="{FF2B5EF4-FFF2-40B4-BE49-F238E27FC236}">
                  <a16:creationId xmlns:a16="http://schemas.microsoft.com/office/drawing/2014/main" id="{A907B5C8-E0A0-A784-AE14-CCF74F0CE882}"/>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8172450" y="33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546100</xdr:colOff>
      <xdr:row>2</xdr:row>
      <xdr:rowOff>66675</xdr:rowOff>
    </xdr:from>
    <xdr:to>
      <xdr:col>10</xdr:col>
      <xdr:colOff>241300</xdr:colOff>
      <xdr:row>17</xdr:row>
      <xdr:rowOff>47625</xdr:rowOff>
    </xdr:to>
    <xdr:graphicFrame macro="">
      <xdr:nvGraphicFramePr>
        <xdr:cNvPr id="2" name="Chart 1">
          <a:extLst>
            <a:ext uri="{FF2B5EF4-FFF2-40B4-BE49-F238E27FC236}">
              <a16:creationId xmlns:a16="http://schemas.microsoft.com/office/drawing/2014/main" id="{C5C16A7B-4807-4138-7CD4-DF4A51959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146050</xdr:colOff>
      <xdr:row>1</xdr:row>
      <xdr:rowOff>136525</xdr:rowOff>
    </xdr:from>
    <xdr:to>
      <xdr:col>9</xdr:col>
      <xdr:colOff>450850</xdr:colOff>
      <xdr:row>16</xdr:row>
      <xdr:rowOff>117475</xdr:rowOff>
    </xdr:to>
    <xdr:graphicFrame macro="">
      <xdr:nvGraphicFramePr>
        <xdr:cNvPr id="3" name="Chart 2">
          <a:extLst>
            <a:ext uri="{FF2B5EF4-FFF2-40B4-BE49-F238E27FC236}">
              <a16:creationId xmlns:a16="http://schemas.microsoft.com/office/drawing/2014/main" id="{9B23C322-8A61-25B9-C25A-1D5B30F5E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8.567681250002" createdVersion="8" refreshedVersion="8" minRefreshableVersion="3" recordCount="116" xr:uid="{4C05F4B0-B337-4041-A41D-F22F0DA292DD}">
  <cacheSource type="worksheet">
    <worksheetSource ref="A1:J1048576" sheet="Excel_jumia new "/>
  </cacheSource>
  <cacheFields count="10">
    <cacheField name="ITEM ID" numFmtId="0">
      <sharedItems containsString="0" containsBlank="1" containsNumber="1" containsInteger="1" minValue="1001" maxValue="1112" count="113">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m/>
      </sharedItems>
    </cacheField>
    <cacheField name="Product" numFmtId="0">
      <sharedItems containsBlank="1" count="112">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 v="Most expensive item"/>
        <s v="Least expensive item"/>
      </sharedItems>
    </cacheField>
    <cacheField name="Current price" numFmtId="164">
      <sharedItems containsString="0" containsBlank="1" containsNumber="1" minValue="38" maxValue="3750" count="105">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n v="1186.8928571428571"/>
        <m/>
      </sharedItems>
    </cacheField>
    <cacheField name="old price" numFmtId="164">
      <sharedItems containsBlank="1" containsMixedTypes="1" containsNumber="1" minValue="80" maxValue="6143" count="97">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n v="553"/>
        <n v="320"/>
        <n v="1811.1071428571429"/>
        <s v="32PCS Portable Cordless Drill Set With Cyclic Battery Drive -26 Variable Speed"/>
        <s v="3PCS Single Head Knitting Crochet Sweater Needle Set"/>
        <m/>
      </sharedItems>
    </cacheField>
    <cacheField name="Discount" numFmtId="10">
      <sharedItems containsString="0" containsBlank="1" containsNumber="1" minValue="1.2638230647709321E-2" maxValue="0.64014466546112114" count="107">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n v="0.36714123251752773"/>
        <m/>
      </sharedItems>
      <fieldGroup base="4">
        <rangePr startNum="1.2638230647709321E-2" endNum="0.64014466546112114" groupInterval="0.1"/>
        <groupItems count="9">
          <s v="(blank)"/>
          <s v="0.0126382306477093-0.112638230647709"/>
          <s v="0.112638230647709-0.212638230647709"/>
          <s v="0.212638230647709-0.312638230647709"/>
          <s v="0.312638230647709-0.412638230647709"/>
          <s v="0.412638230647709-0.512638230647709"/>
          <s v="0.512638230647709-0.612638230647709"/>
          <s v="0.612638230647709-0.712638230647709"/>
          <s v="&gt;0.712638230647709"/>
        </groupItems>
      </fieldGroup>
    </cacheField>
    <cacheField name="Review"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out of 5)" numFmtId="0">
      <sharedItems containsString="0" containsBlank="1" containsNumber="1" minValue="2" maxValue="5" count="24">
        <n v="4.5"/>
        <n v="4.0999999999999996"/>
        <n v="4.5999999999999996"/>
        <n v="4.7"/>
        <n v="4.8"/>
        <n v="4"/>
        <n v="3.8"/>
        <n v="4.2"/>
        <n v="5"/>
        <n v="3.3"/>
        <n v="3.9"/>
        <n v="4.4000000000000004"/>
        <n v="4.3"/>
        <n v="2.5"/>
        <n v="3"/>
        <n v="2.1"/>
        <n v="2.8"/>
        <n v="2.7"/>
        <n v="2.9"/>
        <n v="2.2000000000000002"/>
        <n v="2.2999999999999998"/>
        <n v="2.6"/>
        <n v="2"/>
        <m/>
      </sharedItems>
    </cacheField>
    <cacheField name="Discount(Amount)" numFmtId="0">
      <sharedItems containsString="0" containsBlank="1" containsNumber="1" containsInteger="1" minValue="24" maxValue="2585"/>
    </cacheField>
    <cacheField name="Ratings category" numFmtId="0">
      <sharedItems containsBlank="1"/>
    </cacheField>
    <cacheField name="Discount Category" numFmtId="0">
      <sharedItems containsBlank="1"/>
    </cacheField>
  </cacheFields>
  <extLst>
    <ext xmlns:x14="http://schemas.microsoft.com/office/spreadsheetml/2009/9/main" uri="{725AE2AE-9491-48be-B2B4-4EB974FC3084}">
      <x14:pivotCacheDefinition pivotCacheId="1690511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x v="0"/>
    <x v="0"/>
    <x v="0"/>
    <x v="0"/>
    <x v="0"/>
    <x v="0"/>
    <n v="575"/>
    <s v="Excellent"/>
    <s v="Median Discount"/>
  </r>
  <r>
    <x v="1"/>
    <x v="1"/>
    <x v="1"/>
    <x v="1"/>
    <x v="1"/>
    <x v="1"/>
    <x v="1"/>
    <n v="472"/>
    <s v="Average"/>
    <s v="High Discount"/>
  </r>
  <r>
    <x v="2"/>
    <x v="2"/>
    <x v="2"/>
    <x v="2"/>
    <x v="2"/>
    <x v="2"/>
    <x v="2"/>
    <n v="724"/>
    <s v="Excellent"/>
    <s v="Median Discount"/>
  </r>
  <r>
    <x v="3"/>
    <x v="3"/>
    <x v="3"/>
    <x v="3"/>
    <x v="3"/>
    <x v="3"/>
    <x v="3"/>
    <n v="919"/>
    <s v="Excellent"/>
    <s v="Median Discount"/>
  </r>
  <r>
    <x v="4"/>
    <x v="4"/>
    <x v="4"/>
    <x v="4"/>
    <x v="4"/>
    <x v="4"/>
    <x v="4"/>
    <n v="616"/>
    <s v="Excellent"/>
    <s v="Median Discount"/>
  </r>
  <r>
    <x v="5"/>
    <x v="5"/>
    <x v="5"/>
    <x v="5"/>
    <x v="5"/>
    <x v="5"/>
    <x v="5"/>
    <n v="291"/>
    <s v="Average"/>
    <s v="Low Discount"/>
  </r>
  <r>
    <x v="6"/>
    <x v="6"/>
    <x v="6"/>
    <x v="6"/>
    <x v="6"/>
    <x v="6"/>
    <x v="2"/>
    <n v="713"/>
    <s v="Excellent"/>
    <s v="Median Discount"/>
  </r>
  <r>
    <x v="7"/>
    <x v="7"/>
    <x v="7"/>
    <x v="7"/>
    <x v="7"/>
    <x v="0"/>
    <x v="5"/>
    <n v="592"/>
    <s v="Average"/>
    <s v="Median Discount"/>
  </r>
  <r>
    <x v="8"/>
    <x v="8"/>
    <x v="8"/>
    <x v="8"/>
    <x v="8"/>
    <x v="4"/>
    <x v="4"/>
    <n v="1526"/>
    <s v="Excellent"/>
    <s v="High Discount"/>
  </r>
  <r>
    <x v="9"/>
    <x v="9"/>
    <x v="9"/>
    <x v="9"/>
    <x v="9"/>
    <x v="4"/>
    <x v="6"/>
    <n v="1329"/>
    <s v="Average"/>
    <s v="High Discount"/>
  </r>
  <r>
    <x v="10"/>
    <x v="10"/>
    <x v="10"/>
    <x v="1"/>
    <x v="10"/>
    <x v="7"/>
    <x v="1"/>
    <n v="200"/>
    <s v="Average"/>
    <s v="Median Discount"/>
  </r>
  <r>
    <x v="11"/>
    <x v="11"/>
    <x v="11"/>
    <x v="10"/>
    <x v="11"/>
    <x v="8"/>
    <x v="3"/>
    <n v="510"/>
    <s v="Excellent"/>
    <s v="Median Discount"/>
  </r>
  <r>
    <x v="12"/>
    <x v="12"/>
    <x v="12"/>
    <x v="11"/>
    <x v="12"/>
    <x v="7"/>
    <x v="4"/>
    <n v="483"/>
    <s v="Excellent"/>
    <s v="High Discount"/>
  </r>
  <r>
    <x v="13"/>
    <x v="13"/>
    <x v="13"/>
    <x v="12"/>
    <x v="13"/>
    <x v="9"/>
    <x v="0"/>
    <n v="359"/>
    <s v="Excellent"/>
    <s v="High Discount"/>
  </r>
  <r>
    <x v="14"/>
    <x v="14"/>
    <x v="14"/>
    <x v="3"/>
    <x v="14"/>
    <x v="10"/>
    <x v="7"/>
    <n v="819"/>
    <s v="Average"/>
    <s v="Median Discount"/>
  </r>
  <r>
    <x v="15"/>
    <x v="15"/>
    <x v="15"/>
    <x v="13"/>
    <x v="15"/>
    <x v="0"/>
    <x v="8"/>
    <n v="352"/>
    <s v="Excellent"/>
    <s v="High Discount"/>
  </r>
  <r>
    <x v="16"/>
    <x v="16"/>
    <x v="16"/>
    <x v="14"/>
    <x v="16"/>
    <x v="0"/>
    <x v="8"/>
    <n v="165"/>
    <s v="Excellent"/>
    <s v="High Discount"/>
  </r>
  <r>
    <x v="17"/>
    <x v="17"/>
    <x v="17"/>
    <x v="15"/>
    <x v="17"/>
    <x v="11"/>
    <x v="8"/>
    <n v="1946"/>
    <s v="Excellent"/>
    <s v="High Discount"/>
  </r>
  <r>
    <x v="18"/>
    <x v="18"/>
    <x v="5"/>
    <x v="16"/>
    <x v="18"/>
    <x v="4"/>
    <x v="2"/>
    <n v="700"/>
    <s v="Excellent"/>
    <s v="Low Discount"/>
  </r>
  <r>
    <x v="19"/>
    <x v="19"/>
    <x v="18"/>
    <x v="17"/>
    <x v="19"/>
    <x v="12"/>
    <x v="2"/>
    <n v="968"/>
    <s v="Excellent"/>
    <s v="High Discount"/>
  </r>
  <r>
    <x v="20"/>
    <x v="20"/>
    <x v="19"/>
    <x v="18"/>
    <x v="20"/>
    <x v="13"/>
    <x v="9"/>
    <n v="42"/>
    <s v="Average"/>
    <s v="High Discount"/>
  </r>
  <r>
    <x v="21"/>
    <x v="21"/>
    <x v="20"/>
    <x v="19"/>
    <x v="21"/>
    <x v="14"/>
    <x v="10"/>
    <n v="1360"/>
    <s v="Average"/>
    <s v="High Discount"/>
  </r>
  <r>
    <x v="22"/>
    <x v="22"/>
    <x v="21"/>
    <x v="20"/>
    <x v="22"/>
    <x v="9"/>
    <x v="5"/>
    <n v="470"/>
    <s v="Average"/>
    <s v="Median Discount"/>
  </r>
  <r>
    <x v="23"/>
    <x v="23"/>
    <x v="22"/>
    <x v="21"/>
    <x v="23"/>
    <x v="1"/>
    <x v="11"/>
    <n v="500"/>
    <s v="Average"/>
    <s v="Median Discount"/>
  </r>
  <r>
    <x v="24"/>
    <x v="24"/>
    <x v="23"/>
    <x v="22"/>
    <x v="24"/>
    <x v="3"/>
    <x v="12"/>
    <n v="2452"/>
    <s v="Average"/>
    <s v="High Discount"/>
  </r>
  <r>
    <x v="25"/>
    <x v="25"/>
    <x v="24"/>
    <x v="23"/>
    <x v="25"/>
    <x v="15"/>
    <x v="2"/>
    <n v="227"/>
    <s v="Excellent"/>
    <s v="Median Discount"/>
  </r>
  <r>
    <x v="26"/>
    <x v="26"/>
    <x v="25"/>
    <x v="24"/>
    <x v="26"/>
    <x v="7"/>
    <x v="6"/>
    <n v="640"/>
    <s v="Average"/>
    <s v="Low Discount"/>
  </r>
  <r>
    <x v="27"/>
    <x v="27"/>
    <x v="26"/>
    <x v="25"/>
    <x v="27"/>
    <x v="13"/>
    <x v="6"/>
    <n v="640"/>
    <s v="Average"/>
    <s v="Median Discount"/>
  </r>
  <r>
    <x v="28"/>
    <x v="28"/>
    <x v="27"/>
    <x v="3"/>
    <x v="28"/>
    <x v="16"/>
    <x v="1"/>
    <n v="741"/>
    <s v="Average"/>
    <s v="Median Discount"/>
  </r>
  <r>
    <x v="29"/>
    <x v="29"/>
    <x v="28"/>
    <x v="26"/>
    <x v="29"/>
    <x v="14"/>
    <x v="10"/>
    <n v="1880"/>
    <s v="Average"/>
    <s v="High Discount"/>
  </r>
  <r>
    <x v="30"/>
    <x v="30"/>
    <x v="29"/>
    <x v="27"/>
    <x v="30"/>
    <x v="10"/>
    <x v="12"/>
    <n v="197"/>
    <s v="Average"/>
    <s v="High Discount"/>
  </r>
  <r>
    <x v="31"/>
    <x v="31"/>
    <x v="30"/>
    <x v="28"/>
    <x v="31"/>
    <x v="7"/>
    <x v="3"/>
    <n v="510"/>
    <s v="Excellent"/>
    <s v="Median Discount"/>
  </r>
  <r>
    <x v="32"/>
    <x v="32"/>
    <x v="31"/>
    <x v="29"/>
    <x v="32"/>
    <x v="10"/>
    <x v="12"/>
    <n v="1670"/>
    <s v="Average"/>
    <s v="High Discount"/>
  </r>
  <r>
    <x v="33"/>
    <x v="33"/>
    <x v="32"/>
    <x v="30"/>
    <x v="33"/>
    <x v="16"/>
    <x v="3"/>
    <n v="710"/>
    <s v="Excellent"/>
    <s v="Median Discount"/>
  </r>
  <r>
    <x v="34"/>
    <x v="34"/>
    <x v="33"/>
    <x v="31"/>
    <x v="34"/>
    <x v="17"/>
    <x v="0"/>
    <n v="719"/>
    <s v="Excellent"/>
    <s v="Median Discount"/>
  </r>
  <r>
    <x v="35"/>
    <x v="35"/>
    <x v="34"/>
    <x v="32"/>
    <x v="35"/>
    <x v="18"/>
    <x v="8"/>
    <n v="1070"/>
    <s v="Excellent"/>
    <s v="Median Discount"/>
  </r>
  <r>
    <x v="36"/>
    <x v="36"/>
    <x v="35"/>
    <x v="14"/>
    <x v="20"/>
    <x v="0"/>
    <x v="8"/>
    <n v="189"/>
    <s v="Excellent"/>
    <s v="High Discount"/>
  </r>
  <r>
    <x v="37"/>
    <x v="37"/>
    <x v="36"/>
    <x v="33"/>
    <x v="36"/>
    <x v="19"/>
    <x v="12"/>
    <n v="267"/>
    <s v="Average"/>
    <s v="High Discount"/>
  </r>
  <r>
    <x v="38"/>
    <x v="38"/>
    <x v="37"/>
    <x v="34"/>
    <x v="37"/>
    <x v="0"/>
    <x v="0"/>
    <n v="900"/>
    <s v="Excellent"/>
    <s v="Median Discount"/>
  </r>
  <r>
    <x v="39"/>
    <x v="39"/>
    <x v="38"/>
    <x v="35"/>
    <x v="38"/>
    <x v="14"/>
    <x v="10"/>
    <n v="1721"/>
    <s v="Average"/>
    <s v="Median Discount"/>
  </r>
  <r>
    <x v="40"/>
    <x v="40"/>
    <x v="39"/>
    <x v="36"/>
    <x v="39"/>
    <x v="14"/>
    <x v="10"/>
    <n v="456"/>
    <s v="Average"/>
    <s v="High Discount"/>
  </r>
  <r>
    <x v="41"/>
    <x v="41"/>
    <x v="40"/>
    <x v="37"/>
    <x v="40"/>
    <x v="14"/>
    <x v="10"/>
    <n v="238"/>
    <s v="Average"/>
    <s v="High Discount"/>
  </r>
  <r>
    <x v="42"/>
    <x v="42"/>
    <x v="41"/>
    <x v="38"/>
    <x v="41"/>
    <x v="14"/>
    <x v="10"/>
    <n v="450"/>
    <s v="Average"/>
    <s v="High Discount"/>
  </r>
  <r>
    <x v="43"/>
    <x v="43"/>
    <x v="42"/>
    <x v="39"/>
    <x v="42"/>
    <x v="14"/>
    <x v="10"/>
    <n v="37"/>
    <s v="Average"/>
    <s v="Low Discount"/>
  </r>
  <r>
    <x v="44"/>
    <x v="44"/>
    <x v="43"/>
    <x v="40"/>
    <x v="43"/>
    <x v="14"/>
    <x v="10"/>
    <n v="1001"/>
    <s v="Average"/>
    <s v="High Discount"/>
  </r>
  <r>
    <x v="45"/>
    <x v="45"/>
    <x v="44"/>
    <x v="41"/>
    <x v="37"/>
    <x v="14"/>
    <x v="10"/>
    <n v="595"/>
    <s v="Average"/>
    <s v="Median Discount"/>
  </r>
  <r>
    <x v="46"/>
    <x v="46"/>
    <x v="45"/>
    <x v="42"/>
    <x v="44"/>
    <x v="14"/>
    <x v="10"/>
    <n v="645"/>
    <s v="Average"/>
    <s v="High Discount"/>
  </r>
  <r>
    <x v="47"/>
    <x v="47"/>
    <x v="46"/>
    <x v="43"/>
    <x v="45"/>
    <x v="14"/>
    <x v="10"/>
    <n v="750"/>
    <s v="Average"/>
    <s v="Median Discount"/>
  </r>
  <r>
    <x v="48"/>
    <x v="48"/>
    <x v="47"/>
    <x v="44"/>
    <x v="46"/>
    <x v="14"/>
    <x v="10"/>
    <n v="305"/>
    <s v="Average"/>
    <s v="High Discount"/>
  </r>
  <r>
    <x v="49"/>
    <x v="49"/>
    <x v="48"/>
    <x v="45"/>
    <x v="47"/>
    <x v="14"/>
    <x v="10"/>
    <n v="301"/>
    <s v="Average"/>
    <s v="High Discount"/>
  </r>
  <r>
    <x v="50"/>
    <x v="50"/>
    <x v="49"/>
    <x v="46"/>
    <x v="48"/>
    <x v="14"/>
    <x v="10"/>
    <n v="39"/>
    <s v="Average"/>
    <s v="Low Discount"/>
  </r>
  <r>
    <x v="51"/>
    <x v="51"/>
    <x v="48"/>
    <x v="47"/>
    <x v="49"/>
    <x v="14"/>
    <x v="10"/>
    <n v="85"/>
    <s v="Average"/>
    <s v="Median Discount"/>
  </r>
  <r>
    <x v="52"/>
    <x v="52"/>
    <x v="50"/>
    <x v="48"/>
    <x v="50"/>
    <x v="14"/>
    <x v="10"/>
    <n v="40"/>
    <s v="Average"/>
    <s v="Low Discount"/>
  </r>
  <r>
    <x v="53"/>
    <x v="53"/>
    <x v="10"/>
    <x v="49"/>
    <x v="51"/>
    <x v="14"/>
    <x v="10"/>
    <n v="544"/>
    <s v="Average"/>
    <s v="High Discount"/>
  </r>
  <r>
    <x v="54"/>
    <x v="54"/>
    <x v="51"/>
    <x v="50"/>
    <x v="52"/>
    <x v="14"/>
    <x v="10"/>
    <n v="401"/>
    <s v="Average"/>
    <s v="High Discount"/>
  </r>
  <r>
    <x v="55"/>
    <x v="55"/>
    <x v="52"/>
    <x v="49"/>
    <x v="53"/>
    <x v="14"/>
    <x v="10"/>
    <n v="644"/>
    <s v="Average"/>
    <s v="High Discount"/>
  </r>
  <r>
    <x v="56"/>
    <x v="56"/>
    <x v="10"/>
    <x v="51"/>
    <x v="54"/>
    <x v="14"/>
    <x v="10"/>
    <n v="768"/>
    <s v="Average"/>
    <s v="High Discount"/>
  </r>
  <r>
    <x v="57"/>
    <x v="57"/>
    <x v="53"/>
    <x v="52"/>
    <x v="55"/>
    <x v="14"/>
    <x v="10"/>
    <n v="1011"/>
    <s v="Average"/>
    <s v="Median Discount"/>
  </r>
  <r>
    <x v="58"/>
    <x v="54"/>
    <x v="54"/>
    <x v="53"/>
    <x v="56"/>
    <x v="14"/>
    <x v="10"/>
    <n v="497"/>
    <s v="Average"/>
    <s v="High Discount"/>
  </r>
  <r>
    <x v="59"/>
    <x v="58"/>
    <x v="55"/>
    <x v="54"/>
    <x v="57"/>
    <x v="9"/>
    <x v="13"/>
    <n v="330"/>
    <s v="poor"/>
    <s v="Low Discount"/>
  </r>
  <r>
    <x v="60"/>
    <x v="59"/>
    <x v="56"/>
    <x v="55"/>
    <x v="58"/>
    <x v="20"/>
    <x v="14"/>
    <n v="528"/>
    <s v="Average"/>
    <s v="High Discount"/>
  </r>
  <r>
    <x v="61"/>
    <x v="60"/>
    <x v="57"/>
    <x v="56"/>
    <x v="59"/>
    <x v="13"/>
    <x v="15"/>
    <n v="2585"/>
    <s v="poor"/>
    <s v="High Discount"/>
  </r>
  <r>
    <x v="62"/>
    <x v="61"/>
    <x v="58"/>
    <x v="57"/>
    <x v="60"/>
    <x v="21"/>
    <x v="16"/>
    <n v="428"/>
    <s v="poor"/>
    <s v="High Discount"/>
  </r>
  <r>
    <x v="63"/>
    <x v="62"/>
    <x v="59"/>
    <x v="58"/>
    <x v="61"/>
    <x v="5"/>
    <x v="17"/>
    <n v="355"/>
    <s v="poor"/>
    <s v="High Discount"/>
  </r>
  <r>
    <x v="64"/>
    <x v="63"/>
    <x v="60"/>
    <x v="59"/>
    <x v="62"/>
    <x v="22"/>
    <x v="18"/>
    <n v="335"/>
    <s v="poor"/>
    <s v="Median Discount"/>
  </r>
  <r>
    <x v="65"/>
    <x v="64"/>
    <x v="11"/>
    <x v="60"/>
    <x v="63"/>
    <x v="9"/>
    <x v="19"/>
    <n v="824"/>
    <s v="poor"/>
    <s v="High Discount"/>
  </r>
  <r>
    <x v="66"/>
    <x v="65"/>
    <x v="61"/>
    <x v="40"/>
    <x v="40"/>
    <x v="3"/>
    <x v="20"/>
    <n v="1000"/>
    <s v="poor"/>
    <s v="High Discount"/>
  </r>
  <r>
    <x v="67"/>
    <x v="66"/>
    <x v="62"/>
    <x v="61"/>
    <x v="64"/>
    <x v="4"/>
    <x v="14"/>
    <n v="2393"/>
    <s v="Average"/>
    <s v="Median Discount"/>
  </r>
  <r>
    <x v="68"/>
    <x v="67"/>
    <x v="63"/>
    <x v="62"/>
    <x v="65"/>
    <x v="23"/>
    <x v="21"/>
    <n v="318"/>
    <s v="poor"/>
    <s v="High Discount"/>
  </r>
  <r>
    <x v="69"/>
    <x v="68"/>
    <x v="64"/>
    <x v="63"/>
    <x v="66"/>
    <x v="4"/>
    <x v="14"/>
    <n v="940"/>
    <s v="Average"/>
    <s v="Median Discount"/>
  </r>
  <r>
    <x v="70"/>
    <x v="69"/>
    <x v="65"/>
    <x v="64"/>
    <x v="67"/>
    <x v="9"/>
    <x v="20"/>
    <n v="257"/>
    <s v="poor"/>
    <s v="High Discount"/>
  </r>
  <r>
    <x v="71"/>
    <x v="70"/>
    <x v="66"/>
    <x v="65"/>
    <x v="68"/>
    <x v="4"/>
    <x v="14"/>
    <n v="390"/>
    <s v="Average"/>
    <s v="High Discount"/>
  </r>
  <r>
    <x v="72"/>
    <x v="71"/>
    <x v="67"/>
    <x v="60"/>
    <x v="69"/>
    <x v="9"/>
    <x v="19"/>
    <n v="846"/>
    <s v="poor"/>
    <s v="High Discount"/>
  </r>
  <r>
    <x v="73"/>
    <x v="72"/>
    <x v="68"/>
    <x v="66"/>
    <x v="70"/>
    <x v="3"/>
    <x v="15"/>
    <n v="1418"/>
    <s v="poor"/>
    <s v="High Discount"/>
  </r>
  <r>
    <x v="74"/>
    <x v="73"/>
    <x v="69"/>
    <x v="67"/>
    <x v="71"/>
    <x v="14"/>
    <x v="10"/>
    <n v="695"/>
    <s v="Average"/>
    <s v="High Discount"/>
  </r>
  <r>
    <x v="75"/>
    <x v="74"/>
    <x v="70"/>
    <x v="68"/>
    <x v="72"/>
    <x v="14"/>
    <x v="10"/>
    <n v="510"/>
    <s v="Average"/>
    <s v="High Discount"/>
  </r>
  <r>
    <x v="76"/>
    <x v="75"/>
    <x v="71"/>
    <x v="69"/>
    <x v="73"/>
    <x v="14"/>
    <x v="10"/>
    <n v="67"/>
    <s v="Average"/>
    <s v="Low Discount"/>
  </r>
  <r>
    <x v="77"/>
    <x v="76"/>
    <x v="72"/>
    <x v="70"/>
    <x v="74"/>
    <x v="14"/>
    <x v="10"/>
    <n v="220"/>
    <s v="Average"/>
    <s v="High Discount"/>
  </r>
  <r>
    <x v="78"/>
    <x v="77"/>
    <x v="73"/>
    <x v="71"/>
    <x v="75"/>
    <x v="18"/>
    <x v="14"/>
    <n v="1010"/>
    <s v="Average"/>
    <s v="High Discount"/>
  </r>
  <r>
    <x v="79"/>
    <x v="78"/>
    <x v="74"/>
    <x v="72"/>
    <x v="76"/>
    <x v="18"/>
    <x v="8"/>
    <n v="941"/>
    <s v="Excellent"/>
    <s v="High Discount"/>
  </r>
  <r>
    <x v="80"/>
    <x v="79"/>
    <x v="75"/>
    <x v="73"/>
    <x v="77"/>
    <x v="14"/>
    <x v="10"/>
    <n v="830"/>
    <s v="Average"/>
    <s v="Median Discount"/>
  </r>
  <r>
    <x v="81"/>
    <x v="80"/>
    <x v="76"/>
    <x v="46"/>
    <x v="78"/>
    <x v="14"/>
    <x v="10"/>
    <n v="33"/>
    <s v="Average"/>
    <s v="Low Discount"/>
  </r>
  <r>
    <x v="82"/>
    <x v="81"/>
    <x v="77"/>
    <x v="23"/>
    <x v="79"/>
    <x v="18"/>
    <x v="5"/>
    <n v="317"/>
    <s v="Average"/>
    <s v="High Discount"/>
  </r>
  <r>
    <x v="83"/>
    <x v="48"/>
    <x v="78"/>
    <x v="74"/>
    <x v="80"/>
    <x v="14"/>
    <x v="10"/>
    <n v="169"/>
    <s v="Average"/>
    <s v="High Discount"/>
  </r>
  <r>
    <x v="84"/>
    <x v="82"/>
    <x v="79"/>
    <x v="46"/>
    <x v="81"/>
    <x v="14"/>
    <x v="10"/>
    <n v="233"/>
    <s v="Average"/>
    <s v="Low Discount"/>
  </r>
  <r>
    <x v="85"/>
    <x v="83"/>
    <x v="80"/>
    <x v="75"/>
    <x v="82"/>
    <x v="14"/>
    <x v="10"/>
    <n v="263"/>
    <s v="Average"/>
    <s v="High Discount"/>
  </r>
  <r>
    <x v="86"/>
    <x v="84"/>
    <x v="10"/>
    <x v="50"/>
    <x v="83"/>
    <x v="14"/>
    <x v="10"/>
    <n v="101"/>
    <s v="Average"/>
    <s v="Low Discount"/>
  </r>
  <r>
    <x v="87"/>
    <x v="56"/>
    <x v="81"/>
    <x v="76"/>
    <x v="84"/>
    <x v="14"/>
    <x v="10"/>
    <n v="631"/>
    <s v="Average"/>
    <s v="High Discount"/>
  </r>
  <r>
    <x v="88"/>
    <x v="85"/>
    <x v="82"/>
    <x v="46"/>
    <x v="85"/>
    <x v="14"/>
    <x v="10"/>
    <n v="231"/>
    <s v="Average"/>
    <s v="Low Discount"/>
  </r>
  <r>
    <x v="89"/>
    <x v="86"/>
    <x v="83"/>
    <x v="77"/>
    <x v="86"/>
    <x v="14"/>
    <x v="10"/>
    <n v="470"/>
    <s v="Average"/>
    <s v="High Discount"/>
  </r>
  <r>
    <x v="90"/>
    <x v="87"/>
    <x v="84"/>
    <x v="78"/>
    <x v="40"/>
    <x v="14"/>
    <x v="10"/>
    <n v="850"/>
    <s v="Average"/>
    <s v="High Discount"/>
  </r>
  <r>
    <x v="91"/>
    <x v="88"/>
    <x v="85"/>
    <x v="54"/>
    <x v="87"/>
    <x v="14"/>
    <x v="10"/>
    <n v="1200"/>
    <s v="Average"/>
    <s v="High Discount"/>
  </r>
  <r>
    <x v="92"/>
    <x v="89"/>
    <x v="86"/>
    <x v="79"/>
    <x v="88"/>
    <x v="14"/>
    <x v="10"/>
    <n v="95"/>
    <s v="Average"/>
    <s v="High Discount"/>
  </r>
  <r>
    <x v="93"/>
    <x v="90"/>
    <x v="87"/>
    <x v="46"/>
    <x v="89"/>
    <x v="14"/>
    <x v="10"/>
    <n v="800"/>
    <s v="Average"/>
    <s v="High Discount"/>
  </r>
  <r>
    <x v="94"/>
    <x v="91"/>
    <x v="46"/>
    <x v="80"/>
    <x v="40"/>
    <x v="14"/>
    <x v="10"/>
    <n v="1200"/>
    <s v="Average"/>
    <s v="High Discount"/>
  </r>
  <r>
    <x v="95"/>
    <x v="92"/>
    <x v="88"/>
    <x v="81"/>
    <x v="90"/>
    <x v="14"/>
    <x v="10"/>
    <n v="134"/>
    <s v="Average"/>
    <s v="Low Discount"/>
  </r>
  <r>
    <x v="96"/>
    <x v="93"/>
    <x v="89"/>
    <x v="48"/>
    <x v="91"/>
    <x v="14"/>
    <x v="10"/>
    <n v="37"/>
    <s v="Average"/>
    <s v="Low Discount"/>
  </r>
  <r>
    <x v="97"/>
    <x v="94"/>
    <x v="90"/>
    <x v="82"/>
    <x v="92"/>
    <x v="14"/>
    <x v="10"/>
    <n v="238"/>
    <s v="Average"/>
    <s v="High Discount"/>
  </r>
  <r>
    <x v="98"/>
    <x v="95"/>
    <x v="91"/>
    <x v="16"/>
    <x v="93"/>
    <x v="14"/>
    <x v="10"/>
    <n v="153"/>
    <s v="Average"/>
    <s v="Low Discount"/>
  </r>
  <r>
    <x v="99"/>
    <x v="96"/>
    <x v="92"/>
    <x v="83"/>
    <x v="39"/>
    <x v="14"/>
    <x v="10"/>
    <n v="504"/>
    <s v="Average"/>
    <s v="High Discount"/>
  </r>
  <r>
    <x v="100"/>
    <x v="97"/>
    <x v="93"/>
    <x v="84"/>
    <x v="94"/>
    <x v="14"/>
    <x v="10"/>
    <n v="794"/>
    <s v="Average"/>
    <s v="High Discount"/>
  </r>
  <r>
    <x v="101"/>
    <x v="98"/>
    <x v="94"/>
    <x v="85"/>
    <x v="95"/>
    <x v="18"/>
    <x v="8"/>
    <n v="948"/>
    <s v="Excellent"/>
    <s v="Median Discount"/>
  </r>
  <r>
    <x v="102"/>
    <x v="99"/>
    <x v="95"/>
    <x v="86"/>
    <x v="96"/>
    <x v="14"/>
    <x v="10"/>
    <n v="1000"/>
    <s v="Average"/>
    <s v="High Discount"/>
  </r>
  <r>
    <x v="103"/>
    <x v="100"/>
    <x v="96"/>
    <x v="87"/>
    <x v="97"/>
    <x v="14"/>
    <x v="10"/>
    <n v="24"/>
    <s v="Average"/>
    <s v="Low Discount"/>
  </r>
  <r>
    <x v="104"/>
    <x v="101"/>
    <x v="97"/>
    <x v="88"/>
    <x v="98"/>
    <x v="14"/>
    <x v="10"/>
    <n v="62"/>
    <s v="Average"/>
    <s v="Median Discount"/>
  </r>
  <r>
    <x v="105"/>
    <x v="102"/>
    <x v="98"/>
    <x v="89"/>
    <x v="99"/>
    <x v="14"/>
    <x v="10"/>
    <n v="587"/>
    <s v="Average"/>
    <s v="Median Discount"/>
  </r>
  <r>
    <x v="106"/>
    <x v="103"/>
    <x v="44"/>
    <x v="90"/>
    <x v="100"/>
    <x v="14"/>
    <x v="10"/>
    <n v="620"/>
    <s v="Average"/>
    <s v="Median Discount"/>
  </r>
  <r>
    <x v="107"/>
    <x v="104"/>
    <x v="99"/>
    <x v="46"/>
    <x v="101"/>
    <x v="14"/>
    <x v="10"/>
    <n v="41"/>
    <s v="Average"/>
    <s v="Low Discount"/>
  </r>
  <r>
    <x v="108"/>
    <x v="105"/>
    <x v="100"/>
    <x v="69"/>
    <x v="102"/>
    <x v="14"/>
    <x v="10"/>
    <n v="31"/>
    <s v="Average"/>
    <s v="Low Discount"/>
  </r>
  <r>
    <x v="109"/>
    <x v="106"/>
    <x v="47"/>
    <x v="91"/>
    <x v="103"/>
    <x v="14"/>
    <x v="10"/>
    <n v="354"/>
    <s v="Average"/>
    <s v="High Discount"/>
  </r>
  <r>
    <x v="110"/>
    <x v="107"/>
    <x v="101"/>
    <x v="50"/>
    <x v="40"/>
    <x v="18"/>
    <x v="22"/>
    <n v="450"/>
    <s v="poor"/>
    <s v="High Discount"/>
  </r>
  <r>
    <x v="111"/>
    <x v="108"/>
    <x v="102"/>
    <x v="92"/>
    <x v="104"/>
    <x v="14"/>
    <x v="10"/>
    <n v="151"/>
    <s v="Average"/>
    <s v="High Discount"/>
  </r>
  <r>
    <x v="112"/>
    <x v="109"/>
    <x v="103"/>
    <x v="93"/>
    <x v="105"/>
    <x v="24"/>
    <x v="23"/>
    <m/>
    <m/>
    <m/>
  </r>
  <r>
    <x v="112"/>
    <x v="110"/>
    <x v="62"/>
    <x v="94"/>
    <x v="106"/>
    <x v="24"/>
    <x v="23"/>
    <m/>
    <m/>
    <m/>
  </r>
  <r>
    <x v="112"/>
    <x v="111"/>
    <x v="19"/>
    <x v="95"/>
    <x v="106"/>
    <x v="24"/>
    <x v="23"/>
    <m/>
    <m/>
    <m/>
  </r>
  <r>
    <x v="112"/>
    <x v="109"/>
    <x v="104"/>
    <x v="96"/>
    <x v="106"/>
    <x v="24"/>
    <x v="2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023DB-653C-480B-88DE-5822A697B1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pivotField showAll="0"/>
    <pivotField showAll="0"/>
    <pivotField axis="axisRow" showAll="0">
      <items count="10">
        <item x="0"/>
        <item x="1"/>
        <item x="2"/>
        <item x="3"/>
        <item x="4"/>
        <item x="5"/>
        <item x="6"/>
        <item x="7"/>
        <item x="8"/>
        <item t="default"/>
      </items>
    </pivotField>
    <pivotField dataField="1" showAll="0" countASubtotal="1">
      <items count="26">
        <item x="14"/>
        <item x="18"/>
        <item x="0"/>
        <item x="11"/>
        <item x="4"/>
        <item x="9"/>
        <item x="3"/>
        <item x="10"/>
        <item x="20"/>
        <item x="7"/>
        <item x="13"/>
        <item x="1"/>
        <item x="5"/>
        <item x="22"/>
        <item x="23"/>
        <item x="16"/>
        <item x="2"/>
        <item x="17"/>
        <item x="19"/>
        <item x="8"/>
        <item x="12"/>
        <item x="15"/>
        <item x="6"/>
        <item x="21"/>
        <item x="24"/>
        <item t="countA"/>
      </items>
    </pivotField>
    <pivotField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Review" fld="5" subtotal="count" baseField="4"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F099E-9FBB-4504-9CEA-19F0C843AD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pivotField showAll="0"/>
    <pivotField showAll="0"/>
    <pivotField axis="axisRow" showAll="0">
      <items count="10">
        <item x="0"/>
        <item x="1"/>
        <item x="2"/>
        <item x="3"/>
        <item x="4"/>
        <item x="5"/>
        <item x="6"/>
        <item x="7"/>
        <item x="8"/>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4"/>
  </rowFields>
  <rowItems count="9">
    <i>
      <x/>
    </i>
    <i>
      <x v="1"/>
    </i>
    <i>
      <x v="2"/>
    </i>
    <i>
      <x v="3"/>
    </i>
    <i>
      <x v="4"/>
    </i>
    <i>
      <x v="5"/>
    </i>
    <i>
      <x v="6"/>
    </i>
    <i>
      <x v="7"/>
    </i>
    <i t="grand">
      <x/>
    </i>
  </rowItems>
  <colItems count="1">
    <i/>
  </colItems>
  <dataFields count="1">
    <dataField name="Average of Rating(out of 5)" fld="6" subtotal="average" baseField="4"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74500-25B7-48E6-AAA1-2F112884283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8"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10">
        <item x="0"/>
        <item x="1"/>
        <item x="2"/>
        <item x="3"/>
        <item x="4"/>
        <item x="5"/>
        <item x="6"/>
        <item x="7"/>
        <item x="8"/>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view" fld="5" subtotal="count" baseField="6" baseItem="16"/>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C7150-33A1-483D-8C5A-E8AB9DFFDB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121"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axis="axisRow"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h="1" x="59"/>
        <item x="82"/>
        <item x="84"/>
        <item x="16"/>
        <item x="50"/>
        <item x="51"/>
        <item x="4"/>
        <item x="2"/>
        <item x="93"/>
        <item x="26"/>
        <item x="88"/>
        <item x="37"/>
        <item x="89"/>
        <item x="43"/>
        <item x="104"/>
        <item h="1" x="54"/>
        <item x="105"/>
        <item x="63"/>
        <item x="87"/>
        <item x="92"/>
        <item x="107"/>
        <item x="85"/>
        <item x="69"/>
        <item x="3"/>
        <item x="70"/>
        <item x="109"/>
        <item t="default"/>
      </items>
    </pivotField>
    <pivotField showAll="0">
      <items count="106">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103"/>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x="104"/>
        <item t="default"/>
      </items>
    </pivotField>
    <pivotField showAll="0">
      <items count="98">
        <item x="18"/>
        <item x="79"/>
        <item x="88"/>
        <item x="92"/>
        <item x="74"/>
        <item x="14"/>
        <item x="27"/>
        <item x="47"/>
        <item x="70"/>
        <item x="37"/>
        <item x="82"/>
        <item x="44"/>
        <item x="75"/>
        <item x="91"/>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93"/>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x="94"/>
        <item x="95"/>
        <item x="96"/>
        <item t="default"/>
      </items>
    </pivotField>
    <pivotField axis="axisRow" showAll="0" sortType="descending">
      <items count="10">
        <item x="7"/>
        <item x="6"/>
        <item x="5"/>
        <item x="4"/>
        <item x="3"/>
        <item x="2"/>
        <item x="1"/>
        <item x="8"/>
        <item sd="0" x="0"/>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2">
    <field x="4"/>
    <field x="1"/>
  </rowFields>
  <rowItems count="118">
    <i>
      <x/>
    </i>
    <i r="1">
      <x v="31"/>
    </i>
    <i>
      <x v="1"/>
    </i>
    <i r="1">
      <x v="20"/>
    </i>
    <i r="1">
      <x v="30"/>
    </i>
    <i r="1">
      <x v="40"/>
    </i>
    <i r="1">
      <x v="52"/>
    </i>
    <i r="1">
      <x v="53"/>
    </i>
    <i r="1">
      <x v="60"/>
    </i>
    <i r="1">
      <x v="64"/>
    </i>
    <i r="1">
      <x v="67"/>
    </i>
    <i r="1">
      <x v="70"/>
    </i>
    <i>
      <x v="2"/>
    </i>
    <i r="1">
      <x v="5"/>
    </i>
    <i r="1">
      <x v="7"/>
    </i>
    <i r="1">
      <x v="13"/>
    </i>
    <i r="1">
      <x v="15"/>
    </i>
    <i r="1">
      <x v="17"/>
    </i>
    <i r="1">
      <x v="18"/>
    </i>
    <i r="1">
      <x v="19"/>
    </i>
    <i r="1">
      <x v="21"/>
    </i>
    <i r="1">
      <x v="22"/>
    </i>
    <i r="1">
      <x v="23"/>
    </i>
    <i r="1">
      <x v="24"/>
    </i>
    <i r="1">
      <x v="32"/>
    </i>
    <i r="1">
      <x v="34"/>
    </i>
    <i r="1">
      <x v="35"/>
    </i>
    <i r="1">
      <x v="36"/>
    </i>
    <i r="1">
      <x v="37"/>
    </i>
    <i r="1">
      <x v="38"/>
    </i>
    <i r="1">
      <x v="39"/>
    </i>
    <i r="1">
      <x v="41"/>
    </i>
    <i r="1">
      <x v="42"/>
    </i>
    <i r="1">
      <x v="43"/>
    </i>
    <i r="1">
      <x v="44"/>
    </i>
    <i r="1">
      <x v="45"/>
    </i>
    <i r="1">
      <x v="46"/>
    </i>
    <i r="1">
      <x v="47"/>
    </i>
    <i r="1">
      <x v="48"/>
    </i>
    <i r="1">
      <x v="50"/>
    </i>
    <i r="1">
      <x v="51"/>
    </i>
    <i r="1">
      <x v="53"/>
    </i>
    <i r="1">
      <x v="58"/>
    </i>
    <i r="1">
      <x v="63"/>
    </i>
    <i r="1">
      <x v="68"/>
    </i>
    <i r="1">
      <x v="69"/>
    </i>
    <i r="1">
      <x v="73"/>
    </i>
    <i r="1">
      <x v="77"/>
    </i>
    <i r="1">
      <x v="78"/>
    </i>
    <i r="1">
      <x v="80"/>
    </i>
    <i r="1">
      <x v="83"/>
    </i>
    <i r="1">
      <x v="84"/>
    </i>
    <i r="1">
      <x v="89"/>
    </i>
    <i r="1">
      <x v="96"/>
    </i>
    <i r="1">
      <x v="98"/>
    </i>
    <i r="1">
      <x v="104"/>
    </i>
    <i r="1">
      <x v="106"/>
    </i>
    <i r="1">
      <x v="108"/>
    </i>
    <i r="1">
      <x v="110"/>
    </i>
    <i>
      <x v="3"/>
    </i>
    <i r="1">
      <x/>
    </i>
    <i r="1">
      <x v="1"/>
    </i>
    <i r="1">
      <x v="2"/>
    </i>
    <i r="1">
      <x v="3"/>
    </i>
    <i r="1">
      <x v="4"/>
    </i>
    <i r="1">
      <x v="14"/>
    </i>
    <i r="1">
      <x v="16"/>
    </i>
    <i r="1">
      <x v="29"/>
    </i>
    <i r="1">
      <x v="33"/>
    </i>
    <i r="1">
      <x v="49"/>
    </i>
    <i r="1">
      <x v="55"/>
    </i>
    <i r="1">
      <x v="56"/>
    </i>
    <i r="1">
      <x v="57"/>
    </i>
    <i r="1">
      <x v="59"/>
    </i>
    <i r="1">
      <x v="71"/>
    </i>
    <i r="1">
      <x v="74"/>
    </i>
    <i r="1">
      <x v="75"/>
    </i>
    <i r="1">
      <x v="82"/>
    </i>
    <i r="1">
      <x v="97"/>
    </i>
    <i r="1">
      <x v="109"/>
    </i>
    <i r="1">
      <x v="111"/>
    </i>
    <i>
      <x v="4"/>
    </i>
    <i r="1">
      <x v="6"/>
    </i>
    <i r="1">
      <x v="8"/>
    </i>
    <i r="1">
      <x v="9"/>
    </i>
    <i r="1">
      <x v="26"/>
    </i>
    <i r="1">
      <x v="27"/>
    </i>
    <i r="1">
      <x v="28"/>
    </i>
    <i r="1">
      <x v="61"/>
    </i>
    <i r="1">
      <x v="66"/>
    </i>
    <i r="1">
      <x v="91"/>
    </i>
    <i r="1">
      <x v="92"/>
    </i>
    <i r="1">
      <x v="93"/>
    </i>
    <i r="1">
      <x v="103"/>
    </i>
    <i>
      <x v="5"/>
    </i>
    <i r="1">
      <x v="25"/>
    </i>
    <i r="1">
      <x v="62"/>
    </i>
    <i r="1">
      <x v="65"/>
    </i>
    <i r="1">
      <x v="76"/>
    </i>
    <i r="1">
      <x v="87"/>
    </i>
    <i r="1">
      <x v="95"/>
    </i>
    <i r="1">
      <x v="107"/>
    </i>
    <i>
      <x v="6"/>
    </i>
    <i r="1">
      <x v="10"/>
    </i>
    <i r="1">
      <x v="11"/>
    </i>
    <i r="1">
      <x v="12"/>
    </i>
    <i r="1">
      <x v="54"/>
    </i>
    <i r="1">
      <x v="79"/>
    </i>
    <i r="1">
      <x v="85"/>
    </i>
    <i r="1">
      <x v="88"/>
    </i>
    <i r="1">
      <x v="90"/>
    </i>
    <i r="1">
      <x v="94"/>
    </i>
    <i r="1">
      <x v="99"/>
    </i>
    <i r="1">
      <x v="100"/>
    </i>
    <i r="1">
      <x v="102"/>
    </i>
    <i r="1">
      <x v="105"/>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0754FB-EEC5-4E14-9F3D-7051267E91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axis="axisRow" showAll="0" measureFilter="1" sortType="descending">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1"/>
  </rowFields>
  <rowItems count="11">
    <i>
      <x v="5"/>
    </i>
    <i>
      <x v="8"/>
    </i>
    <i>
      <x v="59"/>
    </i>
    <i>
      <x v="18"/>
    </i>
    <i>
      <x v="1"/>
    </i>
    <i>
      <x v="97"/>
    </i>
    <i>
      <x v="27"/>
    </i>
    <i>
      <x v="93"/>
    </i>
    <i>
      <x v="28"/>
    </i>
    <i>
      <x v="26"/>
    </i>
    <i t="grand">
      <x/>
    </i>
  </rowItems>
  <colItems count="1">
    <i/>
  </colItems>
  <dataFields count="1">
    <dataField name="Sum of Review" fld="5" baseField="1" baseItem="39"/>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625BD0-B3D8-43A0-B97D-B8CF8CEC8A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axis="axisRow" showAll="0" measureFilter="1" sortType="descending">
      <items count="113">
        <item x="109"/>
        <item x="70"/>
        <item x="3"/>
        <item x="69"/>
        <item x="85"/>
        <item x="107"/>
        <item x="92"/>
        <item x="87"/>
        <item x="63"/>
        <item x="105"/>
        <item sd="0" x="54"/>
        <item x="104"/>
        <item x="43"/>
        <item x="89"/>
        <item x="37"/>
        <item x="88"/>
        <item x="26"/>
        <item x="93"/>
        <item x="2"/>
        <item x="4"/>
        <item x="51"/>
        <item x="50"/>
        <item x="16"/>
        <item x="84"/>
        <item x="82"/>
        <item x="59"/>
        <item x="52"/>
        <item x="29"/>
        <item x="86"/>
        <item x="14"/>
        <item x="110"/>
        <item x="41"/>
        <item x="95"/>
        <item x="1"/>
        <item x="77"/>
        <item x="18"/>
        <item x="102"/>
        <item x="22"/>
        <item x="32"/>
        <item x="111"/>
        <item x="39"/>
        <item x="8"/>
        <item x="13"/>
        <item x="17"/>
        <item x="24"/>
        <item x="68"/>
        <item x="98"/>
        <item x="62"/>
        <item x="81"/>
        <item x="10"/>
        <item x="23"/>
        <item x="30"/>
        <item x="25"/>
        <item x="72"/>
        <item x="35"/>
        <item x="7"/>
        <item x="53"/>
        <item x="75"/>
        <item sd="0" x="48"/>
        <item x="36"/>
        <item x="55"/>
        <item x="44"/>
        <item x="103"/>
        <item x="83"/>
        <item x="46"/>
        <item x="49"/>
        <item x="108"/>
        <item x="78"/>
        <item x="42"/>
        <item x="96"/>
        <item x="64"/>
        <item x="15"/>
        <item sd="0"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pivotField>
    <pivotField showAll="0"/>
    <pivotField showAll="0"/>
    <pivotField showAll="0">
      <items count="10">
        <item x="0"/>
        <item x="1"/>
        <item x="2"/>
        <item x="3"/>
        <item x="4"/>
        <item x="5"/>
        <item x="6"/>
        <item x="7"/>
        <item x="8"/>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2">
    <field x="1"/>
    <field x="6"/>
  </rowFields>
  <rowItems count="15">
    <i>
      <x v="22"/>
    </i>
    <i r="1">
      <x v="22"/>
    </i>
    <i>
      <x v="43"/>
    </i>
    <i r="1">
      <x v="22"/>
    </i>
    <i>
      <x v="46"/>
    </i>
    <i r="1">
      <x v="22"/>
    </i>
    <i>
      <x v="54"/>
    </i>
    <i r="1">
      <x v="22"/>
    </i>
    <i>
      <x v="59"/>
    </i>
    <i r="1">
      <x v="22"/>
    </i>
    <i>
      <x v="67"/>
    </i>
    <i r="1">
      <x v="22"/>
    </i>
    <i>
      <x v="71"/>
    </i>
    <i r="1">
      <x v="22"/>
    </i>
    <i t="grand">
      <x/>
    </i>
  </rowItems>
  <colItems count="1">
    <i/>
  </colItems>
  <dataFields count="1">
    <dataField name="Max of Rating(out of 5)" fld="6" subtotal="max" baseField="1" baseItem="0"/>
  </dataFields>
  <pivotTableStyleInfo name="PivotStyleLight16" showRowHeaders="1" showColHeaders="1" showRowStripes="0" showColStripes="0" showLastColumn="1"/>
  <filters count="1">
    <filter fld="1"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A80E8B-BD39-4A7D-9678-F40A1B0E21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0"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10">
        <item x="0"/>
        <item x="1"/>
        <item x="2"/>
        <item x="3"/>
        <item x="4"/>
        <item x="5"/>
        <item x="6"/>
        <item x="7"/>
        <item x="8"/>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2">
    <field x="6"/>
    <field x="1"/>
  </rowFields>
  <rowItems count="137">
    <i>
      <x/>
    </i>
    <i r="1">
      <x v="106"/>
    </i>
    <i>
      <x v="1"/>
    </i>
    <i r="1">
      <x v="30"/>
    </i>
    <i r="1">
      <x v="58"/>
    </i>
    <i>
      <x v="2"/>
    </i>
    <i r="1">
      <x v="35"/>
    </i>
    <i r="1">
      <x v="41"/>
    </i>
    <i>
      <x v="3"/>
    </i>
    <i r="1">
      <x v="17"/>
    </i>
    <i r="1">
      <x v="108"/>
    </i>
    <i>
      <x v="4"/>
    </i>
    <i r="1">
      <x v="25"/>
    </i>
    <i>
      <x v="5"/>
    </i>
    <i r="1">
      <x v="38"/>
    </i>
    <i>
      <x v="6"/>
    </i>
    <i r="1">
      <x v="64"/>
    </i>
    <i>
      <x v="7"/>
    </i>
    <i r="1">
      <x v="5"/>
    </i>
    <i>
      <x v="8"/>
    </i>
    <i r="1">
      <x v="103"/>
    </i>
    <i>
      <x v="9"/>
    </i>
    <i r="1">
      <x v="16"/>
    </i>
    <i r="1">
      <x v="66"/>
    </i>
    <i r="1">
      <x v="77"/>
    </i>
    <i r="1">
      <x v="86"/>
    </i>
    <i r="1">
      <x v="110"/>
    </i>
    <i>
      <x v="10"/>
    </i>
    <i r="1">
      <x v="20"/>
    </i>
    <i>
      <x v="11"/>
    </i>
    <i r="1">
      <x v="3"/>
    </i>
    <i r="1">
      <x v="7"/>
    </i>
    <i r="1">
      <x v="95"/>
    </i>
    <i>
      <x v="12"/>
    </i>
    <i r="1">
      <x v="6"/>
    </i>
    <i r="1">
      <x v="9"/>
    </i>
    <i r="1">
      <x v="10"/>
    </i>
    <i r="1">
      <x v="12"/>
    </i>
    <i r="1">
      <x v="13"/>
    </i>
    <i r="1">
      <x v="14"/>
    </i>
    <i r="1">
      <x v="15"/>
    </i>
    <i r="1">
      <x v="19"/>
    </i>
    <i r="1">
      <x v="21"/>
    </i>
    <i r="1">
      <x v="23"/>
    </i>
    <i r="1">
      <x v="24"/>
    </i>
    <i r="1">
      <x v="29"/>
    </i>
    <i r="1">
      <x v="31"/>
    </i>
    <i r="1">
      <x v="32"/>
    </i>
    <i r="1">
      <x v="33"/>
    </i>
    <i r="1">
      <x v="34"/>
    </i>
    <i r="1">
      <x v="36"/>
    </i>
    <i r="1">
      <x v="37"/>
    </i>
    <i r="1">
      <x v="39"/>
    </i>
    <i r="1">
      <x v="42"/>
    </i>
    <i r="1">
      <x v="43"/>
    </i>
    <i r="1">
      <x v="45"/>
    </i>
    <i r="1">
      <x v="46"/>
    </i>
    <i r="1">
      <x v="47"/>
    </i>
    <i r="1">
      <x v="48"/>
    </i>
    <i r="1">
      <x v="49"/>
    </i>
    <i r="1">
      <x v="50"/>
    </i>
    <i r="1">
      <x v="51"/>
    </i>
    <i r="1">
      <x v="53"/>
    </i>
    <i r="1">
      <x v="54"/>
    </i>
    <i r="1">
      <x v="55"/>
    </i>
    <i r="1">
      <x v="71"/>
    </i>
    <i r="1">
      <x v="75"/>
    </i>
    <i r="1">
      <x v="79"/>
    </i>
    <i r="1">
      <x v="80"/>
    </i>
    <i r="1">
      <x v="83"/>
    </i>
    <i r="1">
      <x v="84"/>
    </i>
    <i r="1">
      <x v="85"/>
    </i>
    <i r="1">
      <x v="87"/>
    </i>
    <i r="1">
      <x v="88"/>
    </i>
    <i r="1">
      <x v="90"/>
    </i>
    <i r="1">
      <x v="91"/>
    </i>
    <i r="1">
      <x v="94"/>
    </i>
    <i r="1">
      <x v="96"/>
    </i>
    <i r="1">
      <x v="98"/>
    </i>
    <i r="1">
      <x v="99"/>
    </i>
    <i r="1">
      <x v="100"/>
    </i>
    <i r="1">
      <x v="101"/>
    </i>
    <i r="1">
      <x v="102"/>
    </i>
    <i r="1">
      <x v="104"/>
    </i>
    <i r="1">
      <x v="105"/>
    </i>
    <i r="1">
      <x v="107"/>
    </i>
    <i>
      <x v="13"/>
    </i>
    <i r="1">
      <x v="11"/>
    </i>
    <i r="1">
      <x v="56"/>
    </i>
    <i r="1">
      <x v="63"/>
    </i>
    <i r="1">
      <x v="74"/>
    </i>
    <i>
      <x v="14"/>
    </i>
    <i r="1">
      <x v="26"/>
    </i>
    <i r="1">
      <x v="62"/>
    </i>
    <i r="1">
      <x v="78"/>
    </i>
    <i>
      <x v="15"/>
    </i>
    <i r="1">
      <x v="82"/>
    </i>
    <i>
      <x v="16"/>
    </i>
    <i r="1">
      <x v="60"/>
    </i>
    <i r="1">
      <x v="67"/>
    </i>
    <i r="1">
      <x v="73"/>
    </i>
    <i r="1">
      <x v="97"/>
    </i>
    <i>
      <x v="17"/>
    </i>
    <i r="1">
      <x v="61"/>
    </i>
    <i>
      <x v="18"/>
    </i>
    <i r="1">
      <x/>
    </i>
    <i r="1">
      <x v="2"/>
    </i>
    <i r="1">
      <x v="27"/>
    </i>
    <i r="1">
      <x v="69"/>
    </i>
    <i>
      <x v="19"/>
    </i>
    <i r="1">
      <x v="8"/>
    </i>
    <i r="1">
      <x v="18"/>
    </i>
    <i r="1">
      <x v="59"/>
    </i>
    <i r="1">
      <x v="76"/>
    </i>
    <i r="1">
      <x v="93"/>
    </i>
    <i>
      <x v="20"/>
    </i>
    <i r="1">
      <x v="1"/>
    </i>
    <i r="1">
      <x v="4"/>
    </i>
    <i r="1">
      <x v="28"/>
    </i>
    <i r="1">
      <x v="109"/>
    </i>
    <i>
      <x v="21"/>
    </i>
    <i r="1">
      <x v="22"/>
    </i>
    <i r="1">
      <x v="70"/>
    </i>
    <i r="1">
      <x v="92"/>
    </i>
    <i>
      <x v="22"/>
    </i>
    <i r="1">
      <x v="40"/>
    </i>
    <i r="1">
      <x v="44"/>
    </i>
    <i r="1">
      <x v="52"/>
    </i>
    <i r="1">
      <x v="57"/>
    </i>
    <i r="1">
      <x v="65"/>
    </i>
    <i r="1">
      <x v="68"/>
    </i>
    <i r="1">
      <x v="89"/>
    </i>
    <i>
      <x v="23"/>
    </i>
    <i r="1">
      <x v="72"/>
    </i>
    <i r="1">
      <x v="81"/>
    </i>
    <i r="1">
      <x v="111"/>
    </i>
    <i t="grand">
      <x/>
    </i>
  </rowItems>
  <colItems count="1">
    <i/>
  </colItems>
  <dataFields count="1">
    <dataField name="Sum of Rating(out of 5)" fld="6" baseField="0" baseItem="0"/>
  </dataFields>
  <pivotTableStyleInfo name="PivotStyleLight16" showRowHeaders="1" showColHeaders="1" showRowStripes="0" showColStripes="0" showLastColumn="1"/>
  <filters count="1">
    <filter fld="1"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3FA43C-4A87-4B43-905A-B2484AA46C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2" firstHeaderRow="0"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111"/>
        <item x="32"/>
        <item x="22"/>
        <item x="102"/>
        <item x="18"/>
        <item x="77"/>
        <item x="1"/>
        <item x="95"/>
        <item x="41"/>
        <item x="110"/>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axis="axisRow" showAll="0">
      <items count="10">
        <item x="0"/>
        <item x="1"/>
        <item x="2"/>
        <item x="3"/>
        <item x="4"/>
        <item x="5"/>
        <item x="6"/>
        <item x="7"/>
        <item x="8"/>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Review" fld="5" baseField="0" baseItem="0"/>
    <dataField name="Sum of Rating(out of 5)" fld="6"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F74A3E-1785-4D27-8058-6773893980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28" firstHeaderRow="0"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pivotField showAll="0"/>
    <pivotField showAll="0"/>
    <pivotField showAll="0">
      <items count="10">
        <item x="0"/>
        <item x="1"/>
        <item x="2"/>
        <item x="3"/>
        <item x="4"/>
        <item x="5"/>
        <item x="6"/>
        <item x="7"/>
        <item x="8"/>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ating(out of 5)" fld="6" baseField="0" baseItem="0"/>
    <dataField name="Sum of Review" fld="5" baseField="0" baseItem="0"/>
  </dataFields>
  <chartFormats count="6">
    <chartFormat chart="12" format="229"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2" format="23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ADB6C4-C4ED-4F7F-9FFB-FB82280C23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7" firstHeaderRow="1" firstDataRow="1" firstDataCol="1"/>
  <pivotFields count="10">
    <pivotField axis="axisRow"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pivotField showAll="0"/>
    <pivotField showAll="0"/>
    <pivotField showAll="0">
      <items count="10">
        <item x="0"/>
        <item x="1"/>
        <item x="2"/>
        <item x="3"/>
        <item x="4"/>
        <item x="5"/>
        <item x="6"/>
        <item x="7"/>
        <item x="8"/>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0"/>
  </rowFields>
  <rowItems count="1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t="grand">
      <x/>
    </i>
  </rowItems>
  <colItems count="1">
    <i/>
  </colItems>
  <dataFields count="1">
    <dataField name="Sum of Rating(out of 5)" fld="6"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FADF2C-E76D-463C-9A4F-B679B83126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0">
    <pivotField showAll="0">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showAll="0"/>
    <pivotField showAll="0"/>
    <pivotField showAll="0"/>
    <pivotField axis="axisRow" showAll="0">
      <items count="10">
        <item x="0"/>
        <item x="1"/>
        <item x="2"/>
        <item x="3"/>
        <item x="4"/>
        <item x="5"/>
        <item x="6"/>
        <item x="7"/>
        <item x="8"/>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10"/>
        <item x="5"/>
        <item x="1"/>
        <item x="7"/>
        <item x="12"/>
        <item x="11"/>
        <item x="0"/>
        <item x="2"/>
        <item x="3"/>
        <item x="4"/>
        <item x="8"/>
        <item x="23"/>
        <item t="default"/>
      </items>
    </pivotField>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Review" fld="5"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ID" xr10:uid="{42AB09F0-FE17-422E-BA0A-C93C3B509015}" sourceName="ITEM ID">
  <pivotTables>
    <pivotTable tabId="8" name="PivotTable4"/>
    <pivotTable tabId="16" name="PivotTable1"/>
    <pivotTable tabId="18" name="PivotTable2"/>
    <pivotTable tabId="19" name="PivotTable3"/>
    <pivotTable tabId="11" name="PivotTable2"/>
    <pivotTable tabId="12" name="PivotTable3"/>
    <pivotTable tabId="22" name="PivotTable4"/>
    <pivotTable tabId="4" name="PivotTable3"/>
    <pivotTable tabId="9" name="PivotTable1"/>
    <pivotTable tabId="26" name="PivotTable6"/>
    <pivotTable tabId="24" name="PivotTable5"/>
  </pivotTables>
  <data>
    <tabular pivotCacheId="1690511391">
      <items count="11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E43ECE02-FD5E-4DB9-930A-2BA93261368E}" sourceName="Discount">
  <pivotTables>
    <pivotTable tabId="8" name="PivotTable4"/>
    <pivotTable tabId="16" name="PivotTable1"/>
    <pivotTable tabId="18" name="PivotTable2"/>
    <pivotTable tabId="19" name="PivotTable3"/>
    <pivotTable tabId="11" name="PivotTable2"/>
    <pivotTable tabId="12" name="PivotTable3"/>
    <pivotTable tabId="22" name="PivotTable4"/>
    <pivotTable tabId="4" name="PivotTable3"/>
    <pivotTable tabId="9" name="PivotTable1"/>
    <pivotTable tabId="26" name="PivotTable6"/>
    <pivotTable tabId="24" name="PivotTable5"/>
  </pivotTables>
  <data>
    <tabular pivotCacheId="1690511391">
      <items count="9">
        <i x="0" s="1"/>
        <i x="1" s="1"/>
        <i x="2" s="1"/>
        <i x="3" s="1"/>
        <i x="4" s="1"/>
        <i x="5" s="1"/>
        <i x="6" s="1"/>
        <i x="7"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out_of_5" xr10:uid="{93983928-198E-46FD-B4F2-3EA93E4C12FA}" sourceName="Rating(out of 5)">
  <pivotTables>
    <pivotTable tabId="8" name="PivotTable4"/>
    <pivotTable tabId="16" name="PivotTable1"/>
    <pivotTable tabId="18" name="PivotTable2"/>
    <pivotTable tabId="19" name="PivotTable3"/>
    <pivotTable tabId="11" name="PivotTable2"/>
    <pivotTable tabId="12" name="PivotTable3"/>
    <pivotTable tabId="22" name="PivotTable4"/>
    <pivotTable tabId="4" name="PivotTable3"/>
    <pivotTable tabId="9" name="PivotTable1"/>
    <pivotTable tabId="26" name="PivotTable6"/>
    <pivotTable tabId="24" name="PivotTable5"/>
  </pivotTables>
  <data>
    <tabular pivotCacheId="1690511391">
      <items count="24">
        <i x="22" s="1"/>
        <i x="15" s="1"/>
        <i x="19" s="1"/>
        <i x="20" s="1"/>
        <i x="13" s="1"/>
        <i x="21" s="1"/>
        <i x="17" s="1"/>
        <i x="16" s="1"/>
        <i x="18" s="1"/>
        <i x="14" s="1"/>
        <i x="9" s="1"/>
        <i x="6" s="1"/>
        <i x="10" s="1"/>
        <i x="5" s="1"/>
        <i x="1" s="1"/>
        <i x="7" s="1"/>
        <i x="12" s="1"/>
        <i x="11" s="1"/>
        <i x="0" s="1"/>
        <i x="2" s="1"/>
        <i x="3" s="1"/>
        <i x="4" s="1"/>
        <i x="8"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CA1895E2-B96C-4697-906D-62B382200B66}" sourceName="Review">
  <pivotTables>
    <pivotTable tabId="22" name="PivotTable4"/>
    <pivotTable tabId="16" name="PivotTable1"/>
    <pivotTable tabId="18" name="PivotTable2"/>
    <pivotTable tabId="19" name="PivotTable3"/>
    <pivotTable tabId="11" name="PivotTable2"/>
    <pivotTable tabId="8" name="PivotTable4"/>
    <pivotTable tabId="12" name="PivotTable3"/>
    <pivotTable tabId="4" name="PivotTable3"/>
    <pivotTable tabId="9" name="PivotTable1"/>
    <pivotTable tabId="26" name="PivotTable6"/>
    <pivotTable tabId="24" name="PivotTable5"/>
  </pivotTables>
  <data>
    <tabular pivotCacheId="1690511391">
      <items count="25">
        <i x="14" s="1"/>
        <i x="18" s="1"/>
        <i x="0" s="1"/>
        <i x="11" s="1"/>
        <i x="4" s="1"/>
        <i x="9" s="1"/>
        <i x="3" s="1"/>
        <i x="10" s="1"/>
        <i x="20" s="1"/>
        <i x="7" s="1"/>
        <i x="13" s="1"/>
        <i x="1" s="1"/>
        <i x="5" s="1"/>
        <i x="22" s="1"/>
        <i x="23" s="1"/>
        <i x="16" s="1"/>
        <i x="2" s="1"/>
        <i x="17" s="1"/>
        <i x="19" s="1"/>
        <i x="8" s="1"/>
        <i x="12" s="1"/>
        <i x="15" s="1"/>
        <i x="6"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ID" xr10:uid="{59D29A7D-5715-4C40-BDCB-3C483AFD4A73}" cache="Slicer_ITEM_ID" caption="ITEM ID" rowHeight="241300"/>
  <slicer name="ITEM ID 1" xr10:uid="{02E0D7FB-EC24-4071-9E3B-0851FA43969C}" cache="Slicer_ITEM_ID" caption="ITEM ID" startItem="106" rowHeight="241300"/>
  <slicer name="Discount" xr10:uid="{1209EACB-0085-4518-BED5-FA5D30DF59BD}" cache="Slicer_Discount" caption="Discount" rowHeight="241300"/>
  <slicer name="Rating(out of 5)" xr10:uid="{33906222-24AB-44FE-A7FC-C258FACA8BD3}" cache="Slicer_Rating_out_of_5" caption="Rating(out of 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ID 2" xr10:uid="{BF0E340E-6AC7-41CC-9F4B-C52CBA3199B6}" cache="Slicer_ITEM_ID" caption="ITEM ID" startItem="73" rowHeight="241300"/>
  <slicer name="ITEM ID 3" xr10:uid="{690B1FB8-B5D3-4429-80E8-C304DE10041B}" cache="Slicer_ITEM_ID" caption="ITEM ID" startItem="8" rowHeight="241300"/>
  <slicer name="Discount 1" xr10:uid="{004D85BA-8061-40C8-AF40-C5B32578DD83}" cache="Slicer_Discount" caption="Discount" startItem="1" rowHeight="241300"/>
  <slicer name="Rating(out of 5) 1" xr10:uid="{E9252057-EF12-48F6-B967-0E4F6625309E}" cache="Slicer_Rating_out_of_5" caption="Rating(out of 5)" startItem="16" rowHeight="241300"/>
  <slicer name="Review 1" xr10:uid="{52CFD64F-E19F-4EA1-A831-DDC728A74F04}" cache="Slicer_Review" caption="Review" startItem="1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8A89C6A8-BC10-43A5-B44A-4CB95B864CE6}" cache="Slicer_Review" caption="Review" startItem="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D693-3780-4D9D-8537-5F3422020FA1}">
  <dimension ref="A3:B12"/>
  <sheetViews>
    <sheetView workbookViewId="0">
      <selection activeCell="D19" sqref="D19"/>
    </sheetView>
  </sheetViews>
  <sheetFormatPr defaultRowHeight="14.5" x14ac:dyDescent="0.35"/>
  <cols>
    <col min="1" max="1" width="36.08984375" bestFit="1" customWidth="1"/>
    <col min="2" max="4" width="14.54296875" bestFit="1" customWidth="1"/>
  </cols>
  <sheetData>
    <row r="3" spans="1:2" x14ac:dyDescent="0.35">
      <c r="A3" s="5" t="s">
        <v>120</v>
      </c>
      <c r="B3" t="s">
        <v>124</v>
      </c>
    </row>
    <row r="4" spans="1:2" x14ac:dyDescent="0.35">
      <c r="A4" s="6" t="s">
        <v>121</v>
      </c>
      <c r="B4" s="11"/>
    </row>
    <row r="5" spans="1:2" x14ac:dyDescent="0.35">
      <c r="A5" s="6" t="s">
        <v>125</v>
      </c>
      <c r="B5" s="11">
        <v>13</v>
      </c>
    </row>
    <row r="6" spans="1:2" x14ac:dyDescent="0.35">
      <c r="A6" s="6" t="s">
        <v>126</v>
      </c>
      <c r="B6" s="11">
        <v>7</v>
      </c>
    </row>
    <row r="7" spans="1:2" x14ac:dyDescent="0.35">
      <c r="A7" s="6" t="s">
        <v>127</v>
      </c>
      <c r="B7" s="11">
        <v>12</v>
      </c>
    </row>
    <row r="8" spans="1:2" x14ac:dyDescent="0.35">
      <c r="A8" s="6" t="s">
        <v>128</v>
      </c>
      <c r="B8" s="11">
        <v>20</v>
      </c>
    </row>
    <row r="9" spans="1:2" x14ac:dyDescent="0.35">
      <c r="A9" s="6" t="s">
        <v>129</v>
      </c>
      <c r="B9" s="11">
        <v>48</v>
      </c>
    </row>
    <row r="10" spans="1:2" x14ac:dyDescent="0.35">
      <c r="A10" s="6" t="s">
        <v>130</v>
      </c>
      <c r="B10" s="11">
        <v>11</v>
      </c>
    </row>
    <row r="11" spans="1:2" x14ac:dyDescent="0.35">
      <c r="A11" s="6" t="s">
        <v>131</v>
      </c>
      <c r="B11" s="11">
        <v>1</v>
      </c>
    </row>
    <row r="12" spans="1:2" x14ac:dyDescent="0.35">
      <c r="A12" s="6" t="s">
        <v>122</v>
      </c>
      <c r="B12" s="11">
        <v>112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0591-85E7-4387-9154-9D76E5DB8C79}">
  <dimension ref="A3:B12"/>
  <sheetViews>
    <sheetView workbookViewId="0">
      <selection activeCell="A10" sqref="A4:A11"/>
    </sheetView>
  </sheetViews>
  <sheetFormatPr defaultRowHeight="14.5" x14ac:dyDescent="0.35"/>
  <cols>
    <col min="1" max="1" width="36.08984375" bestFit="1" customWidth="1"/>
    <col min="2" max="2" width="23.54296875" bestFit="1" customWidth="1"/>
  </cols>
  <sheetData>
    <row r="3" spans="1:2" x14ac:dyDescent="0.35">
      <c r="A3" s="5" t="s">
        <v>120</v>
      </c>
      <c r="B3" t="s">
        <v>132</v>
      </c>
    </row>
    <row r="4" spans="1:2" x14ac:dyDescent="0.35">
      <c r="A4" s="6" t="s">
        <v>121</v>
      </c>
      <c r="B4" s="11"/>
    </row>
    <row r="5" spans="1:2" x14ac:dyDescent="0.35">
      <c r="A5" s="6" t="s">
        <v>125</v>
      </c>
      <c r="B5" s="11">
        <v>3.9076923076923071</v>
      </c>
    </row>
    <row r="6" spans="1:2" x14ac:dyDescent="0.35">
      <c r="A6" s="6" t="s">
        <v>126</v>
      </c>
      <c r="B6" s="11">
        <v>3.9714285714285711</v>
      </c>
    </row>
    <row r="7" spans="1:2" x14ac:dyDescent="0.35">
      <c r="A7" s="6" t="s">
        <v>127</v>
      </c>
      <c r="B7" s="11">
        <v>4.1083333333333334</v>
      </c>
    </row>
    <row r="8" spans="1:2" x14ac:dyDescent="0.35">
      <c r="A8" s="6" t="s">
        <v>128</v>
      </c>
      <c r="B8" s="11">
        <v>4.1650000000000009</v>
      </c>
    </row>
    <row r="9" spans="1:2" x14ac:dyDescent="0.35">
      <c r="A9" s="6" t="s">
        <v>129</v>
      </c>
      <c r="B9" s="11">
        <v>3.7250000000000014</v>
      </c>
    </row>
    <row r="10" spans="1:2" x14ac:dyDescent="0.35">
      <c r="A10" s="6" t="s">
        <v>130</v>
      </c>
      <c r="B10" s="11">
        <v>3.8454545454545457</v>
      </c>
    </row>
    <row r="11" spans="1:2" x14ac:dyDescent="0.35">
      <c r="A11" s="6" t="s">
        <v>131</v>
      </c>
      <c r="B11" s="11">
        <v>3.9</v>
      </c>
    </row>
    <row r="12" spans="1:2" x14ac:dyDescent="0.35">
      <c r="A12" s="6" t="s">
        <v>122</v>
      </c>
      <c r="B12" s="11">
        <v>3.8946428571428529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0761-8DEE-4673-9AC2-A6E1750F0FFF}">
  <dimension ref="A3:B28"/>
  <sheetViews>
    <sheetView zoomScale="106" workbookViewId="0">
      <selection activeCell="AA11" sqref="AA11"/>
    </sheetView>
  </sheetViews>
  <sheetFormatPr defaultRowHeight="14.5" x14ac:dyDescent="0.35"/>
  <cols>
    <col min="1" max="1" width="12.36328125" bestFit="1" customWidth="1"/>
    <col min="2" max="2" width="14.54296875" bestFit="1" customWidth="1"/>
    <col min="3" max="10" width="3.81640625" bestFit="1" customWidth="1"/>
    <col min="11" max="11" width="2.81640625" bestFit="1" customWidth="1"/>
    <col min="12" max="14" width="3.81640625" bestFit="1" customWidth="1"/>
    <col min="15" max="15" width="2.81640625" bestFit="1" customWidth="1"/>
    <col min="16" max="23" width="3.81640625" bestFit="1" customWidth="1"/>
    <col min="24" max="24" width="2.81640625" bestFit="1" customWidth="1"/>
    <col min="25" max="25" width="6.7265625" bestFit="1" customWidth="1"/>
    <col min="26" max="26" width="10.7265625" bestFit="1" customWidth="1"/>
  </cols>
  <sheetData>
    <row r="3" spans="1:2" x14ac:dyDescent="0.35">
      <c r="A3" s="5" t="s">
        <v>120</v>
      </c>
      <c r="B3" t="s">
        <v>124</v>
      </c>
    </row>
    <row r="4" spans="1:2" x14ac:dyDescent="0.35">
      <c r="A4" s="6">
        <v>2</v>
      </c>
      <c r="B4" s="11">
        <v>1</v>
      </c>
    </row>
    <row r="5" spans="1:2" x14ac:dyDescent="0.35">
      <c r="A5" s="6">
        <v>2.1</v>
      </c>
      <c r="B5" s="11">
        <v>2</v>
      </c>
    </row>
    <row r="6" spans="1:2" x14ac:dyDescent="0.35">
      <c r="A6" s="6">
        <v>2.2000000000000002</v>
      </c>
      <c r="B6" s="11">
        <v>2</v>
      </c>
    </row>
    <row r="7" spans="1:2" x14ac:dyDescent="0.35">
      <c r="A7" s="6">
        <v>2.2999999999999998</v>
      </c>
      <c r="B7" s="11">
        <v>2</v>
      </c>
    </row>
    <row r="8" spans="1:2" x14ac:dyDescent="0.35">
      <c r="A8" s="6">
        <v>2.5</v>
      </c>
      <c r="B8" s="11">
        <v>1</v>
      </c>
    </row>
    <row r="9" spans="1:2" x14ac:dyDescent="0.35">
      <c r="A9" s="6">
        <v>2.6</v>
      </c>
      <c r="B9" s="11">
        <v>1</v>
      </c>
    </row>
    <row r="10" spans="1:2" x14ac:dyDescent="0.35">
      <c r="A10" s="6">
        <v>2.7</v>
      </c>
      <c r="B10" s="11">
        <v>1</v>
      </c>
    </row>
    <row r="11" spans="1:2" x14ac:dyDescent="0.35">
      <c r="A11" s="6">
        <v>2.8</v>
      </c>
      <c r="B11" s="11">
        <v>1</v>
      </c>
    </row>
    <row r="12" spans="1:2" x14ac:dyDescent="0.35">
      <c r="A12" s="6">
        <v>2.9</v>
      </c>
      <c r="B12" s="11">
        <v>1</v>
      </c>
    </row>
    <row r="13" spans="1:2" x14ac:dyDescent="0.35">
      <c r="A13" s="6">
        <v>3</v>
      </c>
      <c r="B13" s="11">
        <v>5</v>
      </c>
    </row>
    <row r="14" spans="1:2" x14ac:dyDescent="0.35">
      <c r="A14" s="6">
        <v>3.3</v>
      </c>
      <c r="B14" s="11">
        <v>1</v>
      </c>
    </row>
    <row r="15" spans="1:2" x14ac:dyDescent="0.35">
      <c r="A15" s="6">
        <v>3.8</v>
      </c>
      <c r="B15" s="11">
        <v>3</v>
      </c>
    </row>
    <row r="16" spans="1:2" x14ac:dyDescent="0.35">
      <c r="A16" s="6">
        <v>3.9</v>
      </c>
      <c r="B16" s="11">
        <v>55</v>
      </c>
    </row>
    <row r="17" spans="1:2" x14ac:dyDescent="0.35">
      <c r="A17" s="6">
        <v>4</v>
      </c>
      <c r="B17" s="11">
        <v>4</v>
      </c>
    </row>
    <row r="18" spans="1:2" x14ac:dyDescent="0.35">
      <c r="A18" s="6">
        <v>4.0999999999999996</v>
      </c>
      <c r="B18" s="11">
        <v>3</v>
      </c>
    </row>
    <row r="19" spans="1:2" x14ac:dyDescent="0.35">
      <c r="A19" s="6">
        <v>4.2</v>
      </c>
      <c r="B19" s="11">
        <v>1</v>
      </c>
    </row>
    <row r="20" spans="1:2" x14ac:dyDescent="0.35">
      <c r="A20" s="6">
        <v>4.3</v>
      </c>
      <c r="B20" s="11">
        <v>4</v>
      </c>
    </row>
    <row r="21" spans="1:2" x14ac:dyDescent="0.35">
      <c r="A21" s="6">
        <v>4.4000000000000004</v>
      </c>
      <c r="B21" s="11">
        <v>1</v>
      </c>
    </row>
    <row r="22" spans="1:2" x14ac:dyDescent="0.35">
      <c r="A22" s="6">
        <v>4.5</v>
      </c>
      <c r="B22" s="11">
        <v>4</v>
      </c>
    </row>
    <row r="23" spans="1:2" x14ac:dyDescent="0.35">
      <c r="A23" s="6">
        <v>4.5999999999999996</v>
      </c>
      <c r="B23" s="11">
        <v>5</v>
      </c>
    </row>
    <row r="24" spans="1:2" x14ac:dyDescent="0.35">
      <c r="A24" s="6">
        <v>4.7</v>
      </c>
      <c r="B24" s="11">
        <v>4</v>
      </c>
    </row>
    <row r="25" spans="1:2" x14ac:dyDescent="0.35">
      <c r="A25" s="6">
        <v>4.8</v>
      </c>
      <c r="B25" s="11">
        <v>3</v>
      </c>
    </row>
    <row r="26" spans="1:2" x14ac:dyDescent="0.35">
      <c r="A26" s="6">
        <v>5</v>
      </c>
      <c r="B26" s="11">
        <v>7</v>
      </c>
    </row>
    <row r="27" spans="1:2" x14ac:dyDescent="0.35">
      <c r="A27" s="6" t="s">
        <v>121</v>
      </c>
      <c r="B27" s="11"/>
    </row>
    <row r="28" spans="1:2" x14ac:dyDescent="0.35">
      <c r="A28" s="6" t="s">
        <v>122</v>
      </c>
      <c r="B28" s="11">
        <v>112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0FFB-26C8-408A-8627-D12C0C32E3B5}">
  <dimension ref="A3:A121"/>
  <sheetViews>
    <sheetView workbookViewId="0">
      <selection activeCell="A8" sqref="A8"/>
    </sheetView>
  </sheetViews>
  <sheetFormatPr defaultRowHeight="14.5" x14ac:dyDescent="0.35"/>
  <cols>
    <col min="1" max="1" width="93.08984375" bestFit="1" customWidth="1"/>
    <col min="2" max="2" width="6.453125" bestFit="1" customWidth="1"/>
    <col min="3" max="113" width="4.81640625" bestFit="1" customWidth="1"/>
    <col min="114" max="114" width="6.7265625" bestFit="1" customWidth="1"/>
    <col min="115" max="115" width="10.7265625" bestFit="1" customWidth="1"/>
    <col min="116" max="120" width="70.1796875" bestFit="1" customWidth="1"/>
    <col min="121" max="121" width="39.90625" bestFit="1" customWidth="1"/>
    <col min="122" max="122" width="46.36328125" bestFit="1" customWidth="1"/>
    <col min="123" max="123" width="39.90625" bestFit="1" customWidth="1"/>
    <col min="124" max="124" width="10.7265625" bestFit="1" customWidth="1"/>
  </cols>
  <sheetData>
    <row r="3" spans="1:1" x14ac:dyDescent="0.35">
      <c r="A3" s="5" t="s">
        <v>120</v>
      </c>
    </row>
    <row r="4" spans="1:1" x14ac:dyDescent="0.35">
      <c r="A4" s="6" t="s">
        <v>131</v>
      </c>
    </row>
    <row r="5" spans="1:1" x14ac:dyDescent="0.35">
      <c r="A5" s="9" t="s">
        <v>111</v>
      </c>
    </row>
    <row r="6" spans="1:1" x14ac:dyDescent="0.35">
      <c r="A6" s="6" t="s">
        <v>130</v>
      </c>
    </row>
    <row r="7" spans="1:1" x14ac:dyDescent="0.35">
      <c r="A7" s="9" t="s">
        <v>25</v>
      </c>
    </row>
    <row r="8" spans="1:1" x14ac:dyDescent="0.35">
      <c r="A8" s="9" t="s">
        <v>65</v>
      </c>
    </row>
    <row r="9" spans="1:1" x14ac:dyDescent="0.35">
      <c r="A9" s="9" t="s">
        <v>20</v>
      </c>
    </row>
    <row r="10" spans="1:1" x14ac:dyDescent="0.35">
      <c r="A10" s="9" t="s">
        <v>41</v>
      </c>
    </row>
    <row r="11" spans="1:1" x14ac:dyDescent="0.35">
      <c r="A11" s="9" t="s">
        <v>53</v>
      </c>
    </row>
    <row r="12" spans="1:1" x14ac:dyDescent="0.35">
      <c r="A12" s="9" t="s">
        <v>35</v>
      </c>
    </row>
    <row r="13" spans="1:1" x14ac:dyDescent="0.35">
      <c r="A13" s="9" t="s">
        <v>67</v>
      </c>
    </row>
    <row r="14" spans="1:1" x14ac:dyDescent="0.35">
      <c r="A14" s="9" t="s">
        <v>29</v>
      </c>
    </row>
    <row r="15" spans="1:1" x14ac:dyDescent="0.35">
      <c r="A15" s="9" t="s">
        <v>13</v>
      </c>
    </row>
    <row r="16" spans="1:1" x14ac:dyDescent="0.35">
      <c r="A16" s="6" t="s">
        <v>129</v>
      </c>
    </row>
    <row r="17" spans="1:1" x14ac:dyDescent="0.35">
      <c r="A17" s="9" t="s">
        <v>66</v>
      </c>
    </row>
    <row r="18" spans="1:1" x14ac:dyDescent="0.35">
      <c r="A18" s="9" t="s">
        <v>14</v>
      </c>
    </row>
    <row r="19" spans="1:1" x14ac:dyDescent="0.35">
      <c r="A19" s="9" t="s">
        <v>96</v>
      </c>
    </row>
    <row r="20" spans="1:1" x14ac:dyDescent="0.35">
      <c r="A20" s="9" t="s">
        <v>78</v>
      </c>
    </row>
    <row r="21" spans="1:1" x14ac:dyDescent="0.35">
      <c r="A21" s="9" t="s">
        <v>70</v>
      </c>
    </row>
    <row r="22" spans="1:1" x14ac:dyDescent="0.35">
      <c r="A22" s="9" t="s">
        <v>24</v>
      </c>
    </row>
    <row r="23" spans="1:1" x14ac:dyDescent="0.35">
      <c r="A23" s="9" t="s">
        <v>79</v>
      </c>
    </row>
    <row r="24" spans="1:1" x14ac:dyDescent="0.35">
      <c r="A24" s="9" t="s">
        <v>99</v>
      </c>
    </row>
    <row r="25" spans="1:1" x14ac:dyDescent="0.35">
      <c r="A25" s="9" t="s">
        <v>17</v>
      </c>
    </row>
    <row r="26" spans="1:1" x14ac:dyDescent="0.35">
      <c r="A26" s="9" t="s">
        <v>45</v>
      </c>
    </row>
    <row r="27" spans="1:1" x14ac:dyDescent="0.35">
      <c r="A27" s="9" t="s">
        <v>26</v>
      </c>
    </row>
    <row r="28" spans="1:1" x14ac:dyDescent="0.35">
      <c r="A28" s="9" t="s">
        <v>95</v>
      </c>
    </row>
    <row r="29" spans="1:1" x14ac:dyDescent="0.35">
      <c r="A29" s="9" t="s">
        <v>81</v>
      </c>
    </row>
    <row r="30" spans="1:1" x14ac:dyDescent="0.35">
      <c r="A30" s="9" t="s">
        <v>76</v>
      </c>
    </row>
    <row r="31" spans="1:1" x14ac:dyDescent="0.35">
      <c r="A31" s="9" t="s">
        <v>102</v>
      </c>
    </row>
    <row r="32" spans="1:1" x14ac:dyDescent="0.35">
      <c r="A32" s="9" t="s">
        <v>104</v>
      </c>
    </row>
    <row r="33" spans="1:1" x14ac:dyDescent="0.35">
      <c r="A33" s="9" t="s">
        <v>72</v>
      </c>
    </row>
    <row r="34" spans="1:1" x14ac:dyDescent="0.35">
      <c r="A34" s="9" t="s">
        <v>61</v>
      </c>
    </row>
    <row r="35" spans="1:1" x14ac:dyDescent="0.35">
      <c r="A35" s="9" t="s">
        <v>69</v>
      </c>
    </row>
    <row r="36" spans="1:1" x14ac:dyDescent="0.35">
      <c r="A36" s="9" t="s">
        <v>101</v>
      </c>
    </row>
    <row r="37" spans="1:1" x14ac:dyDescent="0.35">
      <c r="A37" s="9" t="s">
        <v>47</v>
      </c>
    </row>
    <row r="38" spans="1:1" x14ac:dyDescent="0.35">
      <c r="A38" s="9" t="s">
        <v>83</v>
      </c>
    </row>
    <row r="39" spans="1:1" x14ac:dyDescent="0.35">
      <c r="A39" s="9" t="s">
        <v>113</v>
      </c>
    </row>
    <row r="40" spans="1:1" x14ac:dyDescent="0.35">
      <c r="A40" s="9" t="s">
        <v>54</v>
      </c>
    </row>
    <row r="41" spans="1:1" x14ac:dyDescent="0.35">
      <c r="A41" s="9" t="s">
        <v>51</v>
      </c>
    </row>
    <row r="42" spans="1:1" x14ac:dyDescent="0.35">
      <c r="A42" s="9" t="s">
        <v>88</v>
      </c>
    </row>
    <row r="43" spans="1:1" x14ac:dyDescent="0.35">
      <c r="A43" s="9" t="s">
        <v>49</v>
      </c>
    </row>
    <row r="44" spans="1:1" x14ac:dyDescent="0.35">
      <c r="A44" s="9" t="s">
        <v>60</v>
      </c>
    </row>
    <row r="45" spans="1:1" x14ac:dyDescent="0.35">
      <c r="A45" s="9" t="s">
        <v>53</v>
      </c>
    </row>
    <row r="46" spans="1:1" x14ac:dyDescent="0.35">
      <c r="A46" s="9" t="s">
        <v>77</v>
      </c>
    </row>
    <row r="47" spans="1:1" x14ac:dyDescent="0.35">
      <c r="A47" s="9" t="s">
        <v>86</v>
      </c>
    </row>
    <row r="48" spans="1:1" x14ac:dyDescent="0.35">
      <c r="A48" s="9" t="s">
        <v>22</v>
      </c>
    </row>
    <row r="49" spans="1:1" x14ac:dyDescent="0.35">
      <c r="A49" s="9" t="s">
        <v>18</v>
      </c>
    </row>
    <row r="50" spans="1:1" x14ac:dyDescent="0.35">
      <c r="A50" s="9" t="s">
        <v>37</v>
      </c>
    </row>
    <row r="51" spans="1:1" x14ac:dyDescent="0.35">
      <c r="A51" s="9" t="s">
        <v>82</v>
      </c>
    </row>
    <row r="52" spans="1:1" x14ac:dyDescent="0.35">
      <c r="A52" s="9" t="s">
        <v>6</v>
      </c>
    </row>
    <row r="53" spans="1:1" x14ac:dyDescent="0.35">
      <c r="A53" s="9" t="s">
        <v>46</v>
      </c>
    </row>
    <row r="54" spans="1:1" x14ac:dyDescent="0.35">
      <c r="A54" s="9" t="s">
        <v>91</v>
      </c>
    </row>
    <row r="55" spans="1:1" x14ac:dyDescent="0.35">
      <c r="A55" s="9" t="s">
        <v>34</v>
      </c>
    </row>
    <row r="56" spans="1:1" x14ac:dyDescent="0.35">
      <c r="A56" s="9" t="s">
        <v>21</v>
      </c>
    </row>
    <row r="57" spans="1:1" x14ac:dyDescent="0.35">
      <c r="A57" s="9" t="s">
        <v>93</v>
      </c>
    </row>
    <row r="58" spans="1:1" x14ac:dyDescent="0.35">
      <c r="A58" s="9" t="s">
        <v>94</v>
      </c>
    </row>
    <row r="59" spans="1:1" x14ac:dyDescent="0.35">
      <c r="A59" s="9" t="s">
        <v>92</v>
      </c>
    </row>
    <row r="60" spans="1:1" x14ac:dyDescent="0.35">
      <c r="A60" s="9" t="s">
        <v>112</v>
      </c>
    </row>
    <row r="61" spans="1:1" x14ac:dyDescent="0.35">
      <c r="A61" s="9" t="s">
        <v>74</v>
      </c>
    </row>
    <row r="62" spans="1:1" x14ac:dyDescent="0.35">
      <c r="A62" s="9" t="s">
        <v>75</v>
      </c>
    </row>
    <row r="63" spans="1:1" x14ac:dyDescent="0.35">
      <c r="A63" s="6" t="s">
        <v>128</v>
      </c>
    </row>
    <row r="64" spans="1:1" x14ac:dyDescent="0.35">
      <c r="A64" s="9" t="s">
        <v>43</v>
      </c>
    </row>
    <row r="65" spans="1:1" x14ac:dyDescent="0.35">
      <c r="A65" s="9" t="s">
        <v>16</v>
      </c>
    </row>
    <row r="66" spans="1:1" x14ac:dyDescent="0.35">
      <c r="A66" s="9" t="s">
        <v>5</v>
      </c>
    </row>
    <row r="67" spans="1:1" x14ac:dyDescent="0.35">
      <c r="A67" s="9" t="s">
        <v>32</v>
      </c>
    </row>
    <row r="68" spans="1:1" x14ac:dyDescent="0.35">
      <c r="A68" s="9" t="s">
        <v>36</v>
      </c>
    </row>
    <row r="69" spans="1:1" x14ac:dyDescent="0.35">
      <c r="A69" s="9" t="s">
        <v>52</v>
      </c>
    </row>
    <row r="70" spans="1:1" x14ac:dyDescent="0.35">
      <c r="A70" s="9" t="s">
        <v>71</v>
      </c>
    </row>
    <row r="71" spans="1:1" x14ac:dyDescent="0.35">
      <c r="A71" s="9" t="s">
        <v>84</v>
      </c>
    </row>
    <row r="72" spans="1:1" x14ac:dyDescent="0.35">
      <c r="A72" s="9" t="s">
        <v>50</v>
      </c>
    </row>
    <row r="73" spans="1:1" x14ac:dyDescent="0.35">
      <c r="A73" s="9" t="s">
        <v>108</v>
      </c>
    </row>
    <row r="74" spans="1:1" x14ac:dyDescent="0.35">
      <c r="A74" s="9" t="s">
        <v>58</v>
      </c>
    </row>
    <row r="75" spans="1:1" x14ac:dyDescent="0.35">
      <c r="A75" s="9" t="s">
        <v>12</v>
      </c>
    </row>
    <row r="76" spans="1:1" x14ac:dyDescent="0.35">
      <c r="A76" s="9" t="s">
        <v>40</v>
      </c>
    </row>
    <row r="77" spans="1:1" x14ac:dyDescent="0.35">
      <c r="A77" s="9" t="s">
        <v>30</v>
      </c>
    </row>
    <row r="78" spans="1:1" x14ac:dyDescent="0.35">
      <c r="A78" s="9" t="s">
        <v>44</v>
      </c>
    </row>
    <row r="79" spans="1:1" x14ac:dyDescent="0.35">
      <c r="A79" s="9" t="s">
        <v>27</v>
      </c>
    </row>
    <row r="80" spans="1:1" x14ac:dyDescent="0.35">
      <c r="A80" s="9" t="s">
        <v>107</v>
      </c>
    </row>
    <row r="81" spans="1:1" x14ac:dyDescent="0.35">
      <c r="A81" s="9" t="s">
        <v>19</v>
      </c>
    </row>
    <row r="82" spans="1:1" x14ac:dyDescent="0.35">
      <c r="A82" s="9" t="s">
        <v>42</v>
      </c>
    </row>
    <row r="83" spans="1:1" x14ac:dyDescent="0.35">
      <c r="A83" s="9" t="s">
        <v>8</v>
      </c>
    </row>
    <row r="84" spans="1:1" x14ac:dyDescent="0.35">
      <c r="A84" s="9" t="s">
        <v>121</v>
      </c>
    </row>
    <row r="85" spans="1:1" x14ac:dyDescent="0.35">
      <c r="A85" s="6" t="s">
        <v>127</v>
      </c>
    </row>
    <row r="86" spans="1:1" x14ac:dyDescent="0.35">
      <c r="A86" s="9" t="s">
        <v>62</v>
      </c>
    </row>
    <row r="87" spans="1:1" x14ac:dyDescent="0.35">
      <c r="A87" s="9" t="s">
        <v>11</v>
      </c>
    </row>
    <row r="88" spans="1:1" x14ac:dyDescent="0.35">
      <c r="A88" s="9" t="s">
        <v>106</v>
      </c>
    </row>
    <row r="89" spans="1:1" x14ac:dyDescent="0.35">
      <c r="A89" s="9" t="s">
        <v>33</v>
      </c>
    </row>
    <row r="90" spans="1:1" x14ac:dyDescent="0.35">
      <c r="A90" s="9" t="s">
        <v>39</v>
      </c>
    </row>
    <row r="91" spans="1:1" x14ac:dyDescent="0.35">
      <c r="A91" s="9" t="s">
        <v>38</v>
      </c>
    </row>
    <row r="92" spans="1:1" x14ac:dyDescent="0.35">
      <c r="A92" s="9" t="s">
        <v>28</v>
      </c>
    </row>
    <row r="93" spans="1:1" x14ac:dyDescent="0.35">
      <c r="A93" s="9" t="s">
        <v>73</v>
      </c>
    </row>
    <row r="94" spans="1:1" x14ac:dyDescent="0.35">
      <c r="A94" s="9" t="s">
        <v>56</v>
      </c>
    </row>
    <row r="95" spans="1:1" x14ac:dyDescent="0.35">
      <c r="A95" s="9" t="s">
        <v>9</v>
      </c>
    </row>
    <row r="96" spans="1:1" x14ac:dyDescent="0.35">
      <c r="A96" s="9" t="s">
        <v>7</v>
      </c>
    </row>
    <row r="97" spans="1:1" x14ac:dyDescent="0.35">
      <c r="A97" s="9" t="s">
        <v>68</v>
      </c>
    </row>
    <row r="98" spans="1:1" x14ac:dyDescent="0.35">
      <c r="A98" s="6" t="s">
        <v>126</v>
      </c>
    </row>
    <row r="99" spans="1:1" x14ac:dyDescent="0.35">
      <c r="A99" s="9" t="s">
        <v>63</v>
      </c>
    </row>
    <row r="100" spans="1:1" x14ac:dyDescent="0.35">
      <c r="A100" s="9" t="s">
        <v>15</v>
      </c>
    </row>
    <row r="101" spans="1:1" x14ac:dyDescent="0.35">
      <c r="A101" s="9" t="s">
        <v>103</v>
      </c>
    </row>
    <row r="102" spans="1:1" x14ac:dyDescent="0.35">
      <c r="A102" s="9" t="s">
        <v>23</v>
      </c>
    </row>
    <row r="103" spans="1:1" x14ac:dyDescent="0.35">
      <c r="A103" s="9" t="s">
        <v>87</v>
      </c>
    </row>
    <row r="104" spans="1:1" x14ac:dyDescent="0.35">
      <c r="A104" s="9" t="s">
        <v>31</v>
      </c>
    </row>
    <row r="105" spans="1:1" x14ac:dyDescent="0.35">
      <c r="A105" s="9" t="s">
        <v>90</v>
      </c>
    </row>
    <row r="106" spans="1:1" x14ac:dyDescent="0.35">
      <c r="A106" s="6" t="s">
        <v>125</v>
      </c>
    </row>
    <row r="107" spans="1:1" x14ac:dyDescent="0.35">
      <c r="A107" s="9" t="s">
        <v>85</v>
      </c>
    </row>
    <row r="108" spans="1:1" x14ac:dyDescent="0.35">
      <c r="A108" s="9" t="s">
        <v>10</v>
      </c>
    </row>
    <row r="109" spans="1:1" x14ac:dyDescent="0.35">
      <c r="A109" s="9" t="s">
        <v>105</v>
      </c>
    </row>
    <row r="110" spans="1:1" x14ac:dyDescent="0.35">
      <c r="A110" s="9" t="s">
        <v>80</v>
      </c>
    </row>
    <row r="111" spans="1:1" x14ac:dyDescent="0.35">
      <c r="A111" s="9" t="s">
        <v>100</v>
      </c>
    </row>
    <row r="112" spans="1:1" x14ac:dyDescent="0.35">
      <c r="A112" s="9" t="s">
        <v>57</v>
      </c>
    </row>
    <row r="113" spans="1:1" x14ac:dyDescent="0.35">
      <c r="A113" s="9" t="s">
        <v>89</v>
      </c>
    </row>
    <row r="114" spans="1:1" x14ac:dyDescent="0.35">
      <c r="A114" s="9" t="s">
        <v>55</v>
      </c>
    </row>
    <row r="115" spans="1:1" x14ac:dyDescent="0.35">
      <c r="A115" s="9" t="s">
        <v>98</v>
      </c>
    </row>
    <row r="116" spans="1:1" x14ac:dyDescent="0.35">
      <c r="A116" s="9" t="s">
        <v>48</v>
      </c>
    </row>
    <row r="117" spans="1:1" x14ac:dyDescent="0.35">
      <c r="A117" s="9" t="s">
        <v>109</v>
      </c>
    </row>
    <row r="118" spans="1:1" x14ac:dyDescent="0.35">
      <c r="A118" s="9" t="s">
        <v>110</v>
      </c>
    </row>
    <row r="119" spans="1:1" x14ac:dyDescent="0.35">
      <c r="A119" s="9" t="s">
        <v>97</v>
      </c>
    </row>
    <row r="120" spans="1:1" x14ac:dyDescent="0.35">
      <c r="A120" s="6" t="s">
        <v>121</v>
      </c>
    </row>
    <row r="121" spans="1:1" x14ac:dyDescent="0.35">
      <c r="A121" s="6"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E0C9-C9A6-4195-AE0E-5D4B3A5D34C2}">
  <dimension ref="A3:B14"/>
  <sheetViews>
    <sheetView workbookViewId="0">
      <selection activeCell="A6" sqref="A6"/>
    </sheetView>
  </sheetViews>
  <sheetFormatPr defaultRowHeight="14.5" x14ac:dyDescent="0.35"/>
  <cols>
    <col min="1" max="1" width="61.453125" bestFit="1" customWidth="1"/>
    <col min="2" max="2" width="13.08984375" bestFit="1" customWidth="1"/>
  </cols>
  <sheetData>
    <row r="3" spans="1:2" x14ac:dyDescent="0.35">
      <c r="A3" s="5" t="s">
        <v>120</v>
      </c>
      <c r="B3" t="s">
        <v>133</v>
      </c>
    </row>
    <row r="4" spans="1:2" x14ac:dyDescent="0.35">
      <c r="A4" s="6" t="s">
        <v>66</v>
      </c>
      <c r="B4" s="11">
        <v>69</v>
      </c>
    </row>
    <row r="5" spans="1:2" x14ac:dyDescent="0.35">
      <c r="A5" s="6" t="s">
        <v>11</v>
      </c>
      <c r="B5" s="11">
        <v>55</v>
      </c>
    </row>
    <row r="6" spans="1:2" x14ac:dyDescent="0.35">
      <c r="A6" s="6" t="s">
        <v>30</v>
      </c>
      <c r="B6" s="11">
        <v>49</v>
      </c>
    </row>
    <row r="7" spans="1:2" x14ac:dyDescent="0.35">
      <c r="A7" s="6" t="s">
        <v>24</v>
      </c>
      <c r="B7" s="11">
        <v>44</v>
      </c>
    </row>
    <row r="8" spans="1:2" x14ac:dyDescent="0.35">
      <c r="A8" s="6" t="s">
        <v>16</v>
      </c>
      <c r="B8" s="11">
        <v>39</v>
      </c>
    </row>
    <row r="9" spans="1:2" x14ac:dyDescent="0.35">
      <c r="A9" s="6" t="s">
        <v>42</v>
      </c>
      <c r="B9" s="11">
        <v>36</v>
      </c>
    </row>
    <row r="10" spans="1:2" x14ac:dyDescent="0.35">
      <c r="A10" s="6" t="s">
        <v>39</v>
      </c>
      <c r="B10" s="11">
        <v>32</v>
      </c>
    </row>
    <row r="11" spans="1:2" x14ac:dyDescent="0.35">
      <c r="A11" s="6" t="s">
        <v>7</v>
      </c>
      <c r="B11" s="11">
        <v>24</v>
      </c>
    </row>
    <row r="12" spans="1:2" x14ac:dyDescent="0.35">
      <c r="A12" s="6" t="s">
        <v>38</v>
      </c>
      <c r="B12" s="11">
        <v>20</v>
      </c>
    </row>
    <row r="13" spans="1:2" x14ac:dyDescent="0.35">
      <c r="A13" s="6" t="s">
        <v>33</v>
      </c>
      <c r="B13" s="11">
        <v>20</v>
      </c>
    </row>
    <row r="14" spans="1:2" x14ac:dyDescent="0.35">
      <c r="A14" s="6" t="s">
        <v>122</v>
      </c>
      <c r="B14" s="11">
        <v>388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1DAB-4502-457A-A287-49A5EB054C7E}">
  <dimension ref="A3:B18"/>
  <sheetViews>
    <sheetView topLeftCell="A12" workbookViewId="0">
      <selection activeCell="A21" sqref="A21"/>
    </sheetView>
  </sheetViews>
  <sheetFormatPr defaultRowHeight="14.5" x14ac:dyDescent="0.35"/>
  <cols>
    <col min="1" max="1" width="67" bestFit="1" customWidth="1"/>
    <col min="2" max="2" width="20.36328125" bestFit="1" customWidth="1"/>
  </cols>
  <sheetData>
    <row r="3" spans="1:2" x14ac:dyDescent="0.35">
      <c r="A3" s="5" t="s">
        <v>120</v>
      </c>
      <c r="B3" t="s">
        <v>135</v>
      </c>
    </row>
    <row r="4" spans="1:2" x14ac:dyDescent="0.35">
      <c r="A4" s="6" t="s">
        <v>21</v>
      </c>
      <c r="B4" s="11">
        <v>5</v>
      </c>
    </row>
    <row r="5" spans="1:2" x14ac:dyDescent="0.35">
      <c r="A5" s="9">
        <v>5</v>
      </c>
      <c r="B5" s="11">
        <v>5</v>
      </c>
    </row>
    <row r="6" spans="1:2" x14ac:dyDescent="0.35">
      <c r="A6" s="6" t="s">
        <v>22</v>
      </c>
      <c r="B6" s="11">
        <v>5</v>
      </c>
    </row>
    <row r="7" spans="1:2" x14ac:dyDescent="0.35">
      <c r="A7" s="9">
        <v>5</v>
      </c>
      <c r="B7" s="11">
        <v>5</v>
      </c>
    </row>
    <row r="8" spans="1:2" x14ac:dyDescent="0.35">
      <c r="A8" s="6" t="s">
        <v>103</v>
      </c>
      <c r="B8" s="11">
        <v>5</v>
      </c>
    </row>
    <row r="9" spans="1:2" x14ac:dyDescent="0.35">
      <c r="A9" s="9">
        <v>5</v>
      </c>
      <c r="B9" s="11">
        <v>5</v>
      </c>
    </row>
    <row r="10" spans="1:2" x14ac:dyDescent="0.35">
      <c r="A10" s="6" t="s">
        <v>40</v>
      </c>
      <c r="B10" s="11">
        <v>5</v>
      </c>
    </row>
    <row r="11" spans="1:2" x14ac:dyDescent="0.35">
      <c r="A11" s="9">
        <v>5</v>
      </c>
      <c r="B11" s="11">
        <v>5</v>
      </c>
    </row>
    <row r="12" spans="1:2" x14ac:dyDescent="0.35">
      <c r="A12" s="6" t="s">
        <v>41</v>
      </c>
      <c r="B12" s="11">
        <v>5</v>
      </c>
    </row>
    <row r="13" spans="1:2" x14ac:dyDescent="0.35">
      <c r="A13" s="9">
        <v>5</v>
      </c>
      <c r="B13" s="11">
        <v>5</v>
      </c>
    </row>
    <row r="14" spans="1:2" x14ac:dyDescent="0.35">
      <c r="A14" s="6" t="s">
        <v>83</v>
      </c>
      <c r="B14" s="11">
        <v>5</v>
      </c>
    </row>
    <row r="15" spans="1:2" x14ac:dyDescent="0.35">
      <c r="A15" s="9">
        <v>5</v>
      </c>
      <c r="B15" s="11">
        <v>5</v>
      </c>
    </row>
    <row r="16" spans="1:2" x14ac:dyDescent="0.35">
      <c r="A16" s="6" t="s">
        <v>20</v>
      </c>
      <c r="B16" s="11">
        <v>5</v>
      </c>
    </row>
    <row r="17" spans="1:2" x14ac:dyDescent="0.35">
      <c r="A17" s="9">
        <v>5</v>
      </c>
      <c r="B17" s="11">
        <v>5</v>
      </c>
    </row>
    <row r="18" spans="1:2" x14ac:dyDescent="0.35">
      <c r="A18" s="6" t="s">
        <v>122</v>
      </c>
      <c r="B18" s="11">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E96D-AA02-4611-9793-D85E3C8A82CA}">
  <dimension ref="A3:B140"/>
  <sheetViews>
    <sheetView topLeftCell="A7" workbookViewId="0">
      <selection activeCell="B22" sqref="B22:B24"/>
    </sheetView>
  </sheetViews>
  <sheetFormatPr defaultRowHeight="14.5" x14ac:dyDescent="0.35"/>
  <cols>
    <col min="1" max="1" width="93.08984375" bestFit="1" customWidth="1"/>
    <col min="2" max="2" width="20.36328125" bestFit="1" customWidth="1"/>
  </cols>
  <sheetData>
    <row r="3" spans="1:2" x14ac:dyDescent="0.35">
      <c r="A3" s="5" t="s">
        <v>120</v>
      </c>
      <c r="B3" t="s">
        <v>134</v>
      </c>
    </row>
    <row r="4" spans="1:2" x14ac:dyDescent="0.35">
      <c r="A4" s="6">
        <v>2</v>
      </c>
      <c r="B4" s="11">
        <v>2</v>
      </c>
    </row>
    <row r="5" spans="1:2" x14ac:dyDescent="0.35">
      <c r="A5" s="9" t="s">
        <v>112</v>
      </c>
      <c r="B5" s="11">
        <v>2</v>
      </c>
    </row>
    <row r="6" spans="1:2" x14ac:dyDescent="0.35">
      <c r="A6" s="6">
        <v>2.1</v>
      </c>
      <c r="B6" s="11">
        <v>4.2</v>
      </c>
    </row>
    <row r="7" spans="1:2" x14ac:dyDescent="0.35">
      <c r="A7" s="9" t="s">
        <v>65</v>
      </c>
      <c r="B7" s="11">
        <v>2.1</v>
      </c>
    </row>
    <row r="8" spans="1:2" x14ac:dyDescent="0.35">
      <c r="A8" s="9" t="s">
        <v>77</v>
      </c>
      <c r="B8" s="11">
        <v>2.1</v>
      </c>
    </row>
    <row r="9" spans="1:2" x14ac:dyDescent="0.35">
      <c r="A9" s="6">
        <v>2.2000000000000002</v>
      </c>
      <c r="B9" s="11">
        <v>4.4000000000000004</v>
      </c>
    </row>
    <row r="10" spans="1:2" x14ac:dyDescent="0.35">
      <c r="A10" s="9" t="s">
        <v>76</v>
      </c>
      <c r="B10" s="11">
        <v>2.2000000000000002</v>
      </c>
    </row>
    <row r="11" spans="1:2" x14ac:dyDescent="0.35">
      <c r="A11" s="9" t="s">
        <v>69</v>
      </c>
      <c r="B11" s="11">
        <v>2.2000000000000002</v>
      </c>
    </row>
    <row r="12" spans="1:2" x14ac:dyDescent="0.35">
      <c r="A12" s="6">
        <v>2.2999999999999998</v>
      </c>
      <c r="B12" s="11">
        <v>4.5999999999999996</v>
      </c>
    </row>
    <row r="13" spans="1:2" x14ac:dyDescent="0.35">
      <c r="A13" s="9" t="s">
        <v>70</v>
      </c>
      <c r="B13" s="11">
        <v>2.2999999999999998</v>
      </c>
    </row>
    <row r="14" spans="1:2" x14ac:dyDescent="0.35">
      <c r="A14" s="9" t="s">
        <v>74</v>
      </c>
      <c r="B14" s="11">
        <v>2.2999999999999998</v>
      </c>
    </row>
    <row r="15" spans="1:2" x14ac:dyDescent="0.35">
      <c r="A15" s="6">
        <v>2.5</v>
      </c>
      <c r="B15" s="11">
        <v>2.5</v>
      </c>
    </row>
    <row r="16" spans="1:2" x14ac:dyDescent="0.35">
      <c r="A16" s="9" t="s">
        <v>63</v>
      </c>
      <c r="B16" s="11">
        <v>2.5</v>
      </c>
    </row>
    <row r="17" spans="1:2" x14ac:dyDescent="0.35">
      <c r="A17" s="6">
        <v>2.6</v>
      </c>
      <c r="B17" s="11">
        <v>2.6</v>
      </c>
    </row>
    <row r="18" spans="1:2" x14ac:dyDescent="0.35">
      <c r="A18" s="9" t="s">
        <v>72</v>
      </c>
      <c r="B18" s="11">
        <v>2.6</v>
      </c>
    </row>
    <row r="19" spans="1:2" x14ac:dyDescent="0.35">
      <c r="A19" s="6">
        <v>2.7</v>
      </c>
      <c r="B19" s="11">
        <v>2.7</v>
      </c>
    </row>
    <row r="20" spans="1:2" x14ac:dyDescent="0.35">
      <c r="A20" s="9" t="s">
        <v>67</v>
      </c>
      <c r="B20" s="11">
        <v>2.7</v>
      </c>
    </row>
    <row r="21" spans="1:2" x14ac:dyDescent="0.35">
      <c r="A21" s="6">
        <v>2.8</v>
      </c>
      <c r="B21" s="11">
        <v>2.8</v>
      </c>
    </row>
    <row r="22" spans="1:2" x14ac:dyDescent="0.35">
      <c r="A22" s="9" t="s">
        <v>66</v>
      </c>
      <c r="B22" s="11">
        <v>2.8</v>
      </c>
    </row>
    <row r="23" spans="1:2" x14ac:dyDescent="0.35">
      <c r="A23" s="6">
        <v>2.9</v>
      </c>
      <c r="B23" s="11">
        <v>2.9</v>
      </c>
    </row>
    <row r="24" spans="1:2" x14ac:dyDescent="0.35">
      <c r="A24" s="9" t="s">
        <v>68</v>
      </c>
      <c r="B24" s="11">
        <v>2.9</v>
      </c>
    </row>
    <row r="25" spans="1:2" x14ac:dyDescent="0.35">
      <c r="A25" s="6">
        <v>3</v>
      </c>
      <c r="B25" s="11">
        <v>15</v>
      </c>
    </row>
    <row r="26" spans="1:2" x14ac:dyDescent="0.35">
      <c r="A26" s="9" t="s">
        <v>71</v>
      </c>
      <c r="B26" s="11">
        <v>3</v>
      </c>
    </row>
    <row r="27" spans="1:2" x14ac:dyDescent="0.35">
      <c r="A27" s="9" t="s">
        <v>73</v>
      </c>
      <c r="B27" s="11">
        <v>3</v>
      </c>
    </row>
    <row r="28" spans="1:2" x14ac:dyDescent="0.35">
      <c r="A28" s="9" t="s">
        <v>82</v>
      </c>
      <c r="B28" s="11">
        <v>3</v>
      </c>
    </row>
    <row r="29" spans="1:2" x14ac:dyDescent="0.35">
      <c r="A29" s="9" t="s">
        <v>64</v>
      </c>
      <c r="B29" s="11">
        <v>3</v>
      </c>
    </row>
    <row r="30" spans="1:2" x14ac:dyDescent="0.35">
      <c r="A30" s="9" t="s">
        <v>75</v>
      </c>
      <c r="B30" s="11">
        <v>3</v>
      </c>
    </row>
    <row r="31" spans="1:2" x14ac:dyDescent="0.35">
      <c r="A31" s="6">
        <v>3.3</v>
      </c>
      <c r="B31" s="11">
        <v>3.3</v>
      </c>
    </row>
    <row r="32" spans="1:2" x14ac:dyDescent="0.35">
      <c r="A32" s="9" t="s">
        <v>25</v>
      </c>
      <c r="B32" s="11">
        <v>3.3</v>
      </c>
    </row>
    <row r="33" spans="1:2" x14ac:dyDescent="0.35">
      <c r="A33" s="6">
        <v>3.8</v>
      </c>
      <c r="B33" s="11">
        <v>11.399999999999999</v>
      </c>
    </row>
    <row r="34" spans="1:2" x14ac:dyDescent="0.35">
      <c r="A34" s="9" t="s">
        <v>32</v>
      </c>
      <c r="B34" s="11">
        <v>3.8</v>
      </c>
    </row>
    <row r="35" spans="1:2" x14ac:dyDescent="0.35">
      <c r="A35" s="9" t="s">
        <v>14</v>
      </c>
      <c r="B35" s="11">
        <v>3.8</v>
      </c>
    </row>
    <row r="36" spans="1:2" x14ac:dyDescent="0.35">
      <c r="A36" s="9" t="s">
        <v>31</v>
      </c>
      <c r="B36" s="11">
        <v>3.8</v>
      </c>
    </row>
    <row r="37" spans="1:2" x14ac:dyDescent="0.35">
      <c r="A37" s="6">
        <v>3.9</v>
      </c>
      <c r="B37" s="11">
        <v>214.50000000000017</v>
      </c>
    </row>
    <row r="38" spans="1:2" x14ac:dyDescent="0.35">
      <c r="A38" s="9" t="s">
        <v>62</v>
      </c>
      <c r="B38" s="11">
        <v>3.9</v>
      </c>
    </row>
    <row r="39" spans="1:2" x14ac:dyDescent="0.35">
      <c r="A39" s="9" t="s">
        <v>106</v>
      </c>
      <c r="B39" s="11">
        <v>3.9</v>
      </c>
    </row>
    <row r="40" spans="1:2" x14ac:dyDescent="0.35">
      <c r="A40" s="9" t="s">
        <v>85</v>
      </c>
      <c r="B40" s="11">
        <v>3.9</v>
      </c>
    </row>
    <row r="41" spans="1:2" x14ac:dyDescent="0.35">
      <c r="A41" s="9" t="s">
        <v>105</v>
      </c>
      <c r="B41" s="11">
        <v>3.9</v>
      </c>
    </row>
    <row r="42" spans="1:2" x14ac:dyDescent="0.35">
      <c r="A42" s="9" t="s">
        <v>96</v>
      </c>
      <c r="B42" s="11">
        <v>3.9</v>
      </c>
    </row>
    <row r="43" spans="1:2" x14ac:dyDescent="0.35">
      <c r="A43" s="9" t="s">
        <v>52</v>
      </c>
      <c r="B43" s="11">
        <v>3.9</v>
      </c>
    </row>
    <row r="44" spans="1:2" x14ac:dyDescent="0.35">
      <c r="A44" s="9" t="s">
        <v>78</v>
      </c>
      <c r="B44" s="11">
        <v>3.9</v>
      </c>
    </row>
    <row r="45" spans="1:2" x14ac:dyDescent="0.35">
      <c r="A45" s="9" t="s">
        <v>79</v>
      </c>
      <c r="B45" s="11">
        <v>3.9</v>
      </c>
    </row>
    <row r="46" spans="1:2" x14ac:dyDescent="0.35">
      <c r="A46" s="9" t="s">
        <v>99</v>
      </c>
      <c r="B46" s="11">
        <v>3.9</v>
      </c>
    </row>
    <row r="47" spans="1:2" x14ac:dyDescent="0.35">
      <c r="A47" s="9" t="s">
        <v>45</v>
      </c>
      <c r="B47" s="11">
        <v>3.9</v>
      </c>
    </row>
    <row r="48" spans="1:2" x14ac:dyDescent="0.35">
      <c r="A48" s="9" t="s">
        <v>26</v>
      </c>
      <c r="B48" s="11">
        <v>3.9</v>
      </c>
    </row>
    <row r="49" spans="1:2" x14ac:dyDescent="0.35">
      <c r="A49" s="9" t="s">
        <v>84</v>
      </c>
      <c r="B49" s="11">
        <v>3.9</v>
      </c>
    </row>
    <row r="50" spans="1:2" x14ac:dyDescent="0.35">
      <c r="A50" s="9" t="s">
        <v>111</v>
      </c>
      <c r="B50" s="11">
        <v>3.9</v>
      </c>
    </row>
    <row r="51" spans="1:2" x14ac:dyDescent="0.35">
      <c r="A51" s="9" t="s">
        <v>95</v>
      </c>
      <c r="B51" s="11">
        <v>3.9</v>
      </c>
    </row>
    <row r="52" spans="1:2" x14ac:dyDescent="0.35">
      <c r="A52" s="9" t="s">
        <v>50</v>
      </c>
      <c r="B52" s="11">
        <v>3.9</v>
      </c>
    </row>
    <row r="53" spans="1:2" x14ac:dyDescent="0.35">
      <c r="A53" s="9" t="s">
        <v>81</v>
      </c>
      <c r="B53" s="11">
        <v>3.9</v>
      </c>
    </row>
    <row r="54" spans="1:2" x14ac:dyDescent="0.35">
      <c r="A54" s="9" t="s">
        <v>102</v>
      </c>
      <c r="B54" s="11">
        <v>3.9</v>
      </c>
    </row>
    <row r="55" spans="1:2" x14ac:dyDescent="0.35">
      <c r="A55" s="9" t="s">
        <v>104</v>
      </c>
      <c r="B55" s="11">
        <v>3.9</v>
      </c>
    </row>
    <row r="56" spans="1:2" x14ac:dyDescent="0.35">
      <c r="A56" s="9" t="s">
        <v>61</v>
      </c>
      <c r="B56" s="11">
        <v>7.8</v>
      </c>
    </row>
    <row r="57" spans="1:2" x14ac:dyDescent="0.35">
      <c r="A57" s="9" t="s">
        <v>101</v>
      </c>
      <c r="B57" s="11">
        <v>3.9</v>
      </c>
    </row>
    <row r="58" spans="1:2" x14ac:dyDescent="0.35">
      <c r="A58" s="9" t="s">
        <v>47</v>
      </c>
      <c r="B58" s="11">
        <v>3.9</v>
      </c>
    </row>
    <row r="59" spans="1:2" x14ac:dyDescent="0.35">
      <c r="A59" s="9" t="s">
        <v>113</v>
      </c>
      <c r="B59" s="11">
        <v>3.9</v>
      </c>
    </row>
    <row r="60" spans="1:2" x14ac:dyDescent="0.35">
      <c r="A60" s="9" t="s">
        <v>54</v>
      </c>
      <c r="B60" s="11">
        <v>3.9</v>
      </c>
    </row>
    <row r="61" spans="1:2" x14ac:dyDescent="0.35">
      <c r="A61" s="9" t="s">
        <v>51</v>
      </c>
      <c r="B61" s="11">
        <v>3.9</v>
      </c>
    </row>
    <row r="62" spans="1:2" x14ac:dyDescent="0.35">
      <c r="A62" s="9" t="s">
        <v>88</v>
      </c>
      <c r="B62" s="11">
        <v>3.9</v>
      </c>
    </row>
    <row r="63" spans="1:2" x14ac:dyDescent="0.35">
      <c r="A63" s="9" t="s">
        <v>108</v>
      </c>
      <c r="B63" s="11">
        <v>3.9</v>
      </c>
    </row>
    <row r="64" spans="1:2" x14ac:dyDescent="0.35">
      <c r="A64" s="9" t="s">
        <v>49</v>
      </c>
      <c r="B64" s="11">
        <v>3.9</v>
      </c>
    </row>
    <row r="65" spans="1:2" x14ac:dyDescent="0.35">
      <c r="A65" s="9" t="s">
        <v>60</v>
      </c>
      <c r="B65" s="11">
        <v>3.9</v>
      </c>
    </row>
    <row r="66" spans="1:2" x14ac:dyDescent="0.35">
      <c r="A66" s="9" t="s">
        <v>53</v>
      </c>
      <c r="B66" s="11">
        <v>7.8</v>
      </c>
    </row>
    <row r="67" spans="1:2" x14ac:dyDescent="0.35">
      <c r="A67" s="9" t="s">
        <v>80</v>
      </c>
      <c r="B67" s="11">
        <v>3.9</v>
      </c>
    </row>
    <row r="68" spans="1:2" x14ac:dyDescent="0.35">
      <c r="A68" s="9" t="s">
        <v>58</v>
      </c>
      <c r="B68" s="11">
        <v>3.9</v>
      </c>
    </row>
    <row r="69" spans="1:2" x14ac:dyDescent="0.35">
      <c r="A69" s="9" t="s">
        <v>44</v>
      </c>
      <c r="B69" s="11">
        <v>3.9</v>
      </c>
    </row>
    <row r="70" spans="1:2" x14ac:dyDescent="0.35">
      <c r="A70" s="9" t="s">
        <v>107</v>
      </c>
      <c r="B70" s="11">
        <v>3.9</v>
      </c>
    </row>
    <row r="71" spans="1:2" x14ac:dyDescent="0.35">
      <c r="A71" s="9" t="s">
        <v>100</v>
      </c>
      <c r="B71" s="11">
        <v>3.9</v>
      </c>
    </row>
    <row r="72" spans="1:2" x14ac:dyDescent="0.35">
      <c r="A72" s="9" t="s">
        <v>46</v>
      </c>
      <c r="B72" s="11">
        <v>3.9</v>
      </c>
    </row>
    <row r="73" spans="1:2" x14ac:dyDescent="0.35">
      <c r="A73" s="9" t="s">
        <v>91</v>
      </c>
      <c r="B73" s="11">
        <v>3.9</v>
      </c>
    </row>
    <row r="74" spans="1:2" x14ac:dyDescent="0.35">
      <c r="A74" s="9" t="s">
        <v>34</v>
      </c>
      <c r="B74" s="11">
        <v>3.9</v>
      </c>
    </row>
    <row r="75" spans="1:2" x14ac:dyDescent="0.35">
      <c r="A75" s="9" t="s">
        <v>57</v>
      </c>
      <c r="B75" s="11">
        <v>3.9</v>
      </c>
    </row>
    <row r="76" spans="1:2" x14ac:dyDescent="0.35">
      <c r="A76" s="9" t="s">
        <v>87</v>
      </c>
      <c r="B76" s="11">
        <v>3.9</v>
      </c>
    </row>
    <row r="77" spans="1:2" x14ac:dyDescent="0.35">
      <c r="A77" s="9" t="s">
        <v>89</v>
      </c>
      <c r="B77" s="11">
        <v>3.9</v>
      </c>
    </row>
    <row r="78" spans="1:2" x14ac:dyDescent="0.35">
      <c r="A78" s="9" t="s">
        <v>55</v>
      </c>
      <c r="B78" s="11">
        <v>3.9</v>
      </c>
    </row>
    <row r="79" spans="1:2" x14ac:dyDescent="0.35">
      <c r="A79" s="9" t="s">
        <v>56</v>
      </c>
      <c r="B79" s="11">
        <v>3.9</v>
      </c>
    </row>
    <row r="80" spans="1:2" x14ac:dyDescent="0.35">
      <c r="A80" s="9" t="s">
        <v>98</v>
      </c>
      <c r="B80" s="11">
        <v>3.9</v>
      </c>
    </row>
    <row r="81" spans="1:2" x14ac:dyDescent="0.35">
      <c r="A81" s="9" t="s">
        <v>93</v>
      </c>
      <c r="B81" s="11">
        <v>3.9</v>
      </c>
    </row>
    <row r="82" spans="1:2" x14ac:dyDescent="0.35">
      <c r="A82" s="9" t="s">
        <v>94</v>
      </c>
      <c r="B82" s="11">
        <v>3.9</v>
      </c>
    </row>
    <row r="83" spans="1:2" x14ac:dyDescent="0.35">
      <c r="A83" s="9" t="s">
        <v>48</v>
      </c>
      <c r="B83" s="11">
        <v>3.9</v>
      </c>
    </row>
    <row r="84" spans="1:2" x14ac:dyDescent="0.35">
      <c r="A84" s="9" t="s">
        <v>109</v>
      </c>
      <c r="B84" s="11">
        <v>3.9</v>
      </c>
    </row>
    <row r="85" spans="1:2" x14ac:dyDescent="0.35">
      <c r="A85" s="9" t="s">
        <v>59</v>
      </c>
      <c r="B85" s="11">
        <v>7.8</v>
      </c>
    </row>
    <row r="86" spans="1:2" x14ac:dyDescent="0.35">
      <c r="A86" s="9" t="s">
        <v>110</v>
      </c>
      <c r="B86" s="11">
        <v>3.9</v>
      </c>
    </row>
    <row r="87" spans="1:2" x14ac:dyDescent="0.35">
      <c r="A87" s="9" t="s">
        <v>92</v>
      </c>
      <c r="B87" s="11">
        <v>3.9</v>
      </c>
    </row>
    <row r="88" spans="1:2" x14ac:dyDescent="0.35">
      <c r="A88" s="9" t="s">
        <v>97</v>
      </c>
      <c r="B88" s="11">
        <v>3.9</v>
      </c>
    </row>
    <row r="89" spans="1:2" x14ac:dyDescent="0.35">
      <c r="A89" s="9" t="s">
        <v>90</v>
      </c>
      <c r="B89" s="11">
        <v>3.9</v>
      </c>
    </row>
    <row r="90" spans="1:2" x14ac:dyDescent="0.35">
      <c r="A90" s="6">
        <v>4</v>
      </c>
      <c r="B90" s="11">
        <v>16</v>
      </c>
    </row>
    <row r="91" spans="1:2" x14ac:dyDescent="0.35">
      <c r="A91" s="9" t="s">
        <v>10</v>
      </c>
      <c r="B91" s="11">
        <v>4</v>
      </c>
    </row>
    <row r="92" spans="1:2" x14ac:dyDescent="0.35">
      <c r="A92" s="9" t="s">
        <v>12</v>
      </c>
      <c r="B92" s="11">
        <v>4</v>
      </c>
    </row>
    <row r="93" spans="1:2" x14ac:dyDescent="0.35">
      <c r="A93" s="9" t="s">
        <v>86</v>
      </c>
      <c r="B93" s="11">
        <v>4</v>
      </c>
    </row>
    <row r="94" spans="1:2" x14ac:dyDescent="0.35">
      <c r="A94" s="9" t="s">
        <v>27</v>
      </c>
      <c r="B94" s="11">
        <v>4</v>
      </c>
    </row>
    <row r="95" spans="1:2" x14ac:dyDescent="0.35">
      <c r="A95" s="6">
        <v>4.0999999999999996</v>
      </c>
      <c r="B95" s="11">
        <v>12.299999999999999</v>
      </c>
    </row>
    <row r="96" spans="1:2" x14ac:dyDescent="0.35">
      <c r="A96" s="9" t="s">
        <v>33</v>
      </c>
      <c r="B96" s="11">
        <v>4.0999999999999996</v>
      </c>
    </row>
    <row r="97" spans="1:2" x14ac:dyDescent="0.35">
      <c r="A97" s="9" t="s">
        <v>15</v>
      </c>
      <c r="B97" s="11">
        <v>4.0999999999999996</v>
      </c>
    </row>
    <row r="98" spans="1:2" x14ac:dyDescent="0.35">
      <c r="A98" s="9" t="s">
        <v>6</v>
      </c>
      <c r="B98" s="11">
        <v>4.0999999999999996</v>
      </c>
    </row>
    <row r="99" spans="1:2" x14ac:dyDescent="0.35">
      <c r="A99" s="6">
        <v>4.2</v>
      </c>
      <c r="B99" s="11">
        <v>4.2</v>
      </c>
    </row>
    <row r="100" spans="1:2" x14ac:dyDescent="0.35">
      <c r="A100" s="9" t="s">
        <v>19</v>
      </c>
      <c r="B100" s="11">
        <v>4.2</v>
      </c>
    </row>
    <row r="101" spans="1:2" x14ac:dyDescent="0.35">
      <c r="A101" s="6">
        <v>4.3</v>
      </c>
      <c r="B101" s="11">
        <v>17.2</v>
      </c>
    </row>
    <row r="102" spans="1:2" x14ac:dyDescent="0.35">
      <c r="A102" s="9" t="s">
        <v>35</v>
      </c>
      <c r="B102" s="11">
        <v>4.3</v>
      </c>
    </row>
    <row r="103" spans="1:2" x14ac:dyDescent="0.35">
      <c r="A103" s="9" t="s">
        <v>29</v>
      </c>
      <c r="B103" s="11">
        <v>4.3</v>
      </c>
    </row>
    <row r="104" spans="1:2" x14ac:dyDescent="0.35">
      <c r="A104" s="9" t="s">
        <v>37</v>
      </c>
      <c r="B104" s="11">
        <v>4.3</v>
      </c>
    </row>
    <row r="105" spans="1:2" x14ac:dyDescent="0.35">
      <c r="A105" s="9" t="s">
        <v>42</v>
      </c>
      <c r="B105" s="11">
        <v>4.3</v>
      </c>
    </row>
    <row r="106" spans="1:2" x14ac:dyDescent="0.35">
      <c r="A106" s="6">
        <v>4.4000000000000004</v>
      </c>
      <c r="B106" s="11">
        <v>4.4000000000000004</v>
      </c>
    </row>
    <row r="107" spans="1:2" x14ac:dyDescent="0.35">
      <c r="A107" s="9" t="s">
        <v>28</v>
      </c>
      <c r="B107" s="11">
        <v>4.4000000000000004</v>
      </c>
    </row>
    <row r="108" spans="1:2" x14ac:dyDescent="0.35">
      <c r="A108" s="6">
        <v>4.5</v>
      </c>
      <c r="B108" s="11">
        <v>18</v>
      </c>
    </row>
    <row r="109" spans="1:2" x14ac:dyDescent="0.35">
      <c r="A109" s="9" t="s">
        <v>43</v>
      </c>
      <c r="B109" s="11">
        <v>4.5</v>
      </c>
    </row>
    <row r="110" spans="1:2" x14ac:dyDescent="0.35">
      <c r="A110" s="9" t="s">
        <v>5</v>
      </c>
      <c r="B110" s="11">
        <v>4.5</v>
      </c>
    </row>
    <row r="111" spans="1:2" x14ac:dyDescent="0.35">
      <c r="A111" s="9" t="s">
        <v>39</v>
      </c>
      <c r="B111" s="11">
        <v>4.5</v>
      </c>
    </row>
    <row r="112" spans="1:2" x14ac:dyDescent="0.35">
      <c r="A112" s="9" t="s">
        <v>18</v>
      </c>
      <c r="B112" s="11">
        <v>4.5</v>
      </c>
    </row>
    <row r="113" spans="1:2" x14ac:dyDescent="0.35">
      <c r="A113" s="6">
        <v>4.5999999999999996</v>
      </c>
      <c r="B113" s="11">
        <v>23</v>
      </c>
    </row>
    <row r="114" spans="1:2" x14ac:dyDescent="0.35">
      <c r="A114" s="9" t="s">
        <v>11</v>
      </c>
      <c r="B114" s="11">
        <v>4.5999999999999996</v>
      </c>
    </row>
    <row r="115" spans="1:2" x14ac:dyDescent="0.35">
      <c r="A115" s="9" t="s">
        <v>24</v>
      </c>
      <c r="B115" s="11">
        <v>4.5999999999999996</v>
      </c>
    </row>
    <row r="116" spans="1:2" x14ac:dyDescent="0.35">
      <c r="A116" s="9" t="s">
        <v>30</v>
      </c>
      <c r="B116" s="11">
        <v>4.5999999999999996</v>
      </c>
    </row>
    <row r="117" spans="1:2" x14ac:dyDescent="0.35">
      <c r="A117" s="9" t="s">
        <v>23</v>
      </c>
      <c r="B117" s="11">
        <v>4.5999999999999996</v>
      </c>
    </row>
    <row r="118" spans="1:2" x14ac:dyDescent="0.35">
      <c r="A118" s="9" t="s">
        <v>7</v>
      </c>
      <c r="B118" s="11">
        <v>4.5999999999999996</v>
      </c>
    </row>
    <row r="119" spans="1:2" x14ac:dyDescent="0.35">
      <c r="A119" s="6">
        <v>4.7</v>
      </c>
      <c r="B119" s="11">
        <v>18.8</v>
      </c>
    </row>
    <row r="120" spans="1:2" x14ac:dyDescent="0.35">
      <c r="A120" s="9" t="s">
        <v>16</v>
      </c>
      <c r="B120" s="11">
        <v>4.7</v>
      </c>
    </row>
    <row r="121" spans="1:2" x14ac:dyDescent="0.35">
      <c r="A121" s="9" t="s">
        <v>36</v>
      </c>
      <c r="B121" s="11">
        <v>4.7</v>
      </c>
    </row>
    <row r="122" spans="1:2" x14ac:dyDescent="0.35">
      <c r="A122" s="9" t="s">
        <v>38</v>
      </c>
      <c r="B122" s="11">
        <v>4.7</v>
      </c>
    </row>
    <row r="123" spans="1:2" x14ac:dyDescent="0.35">
      <c r="A123" s="9" t="s">
        <v>8</v>
      </c>
      <c r="B123" s="11">
        <v>4.7</v>
      </c>
    </row>
    <row r="124" spans="1:2" x14ac:dyDescent="0.35">
      <c r="A124" s="6">
        <v>4.8</v>
      </c>
      <c r="B124" s="11">
        <v>14.399999999999999</v>
      </c>
    </row>
    <row r="125" spans="1:2" x14ac:dyDescent="0.35">
      <c r="A125" s="9" t="s">
        <v>17</v>
      </c>
      <c r="B125" s="11">
        <v>4.8</v>
      </c>
    </row>
    <row r="126" spans="1:2" x14ac:dyDescent="0.35">
      <c r="A126" s="9" t="s">
        <v>13</v>
      </c>
      <c r="B126" s="11">
        <v>4.8</v>
      </c>
    </row>
    <row r="127" spans="1:2" x14ac:dyDescent="0.35">
      <c r="A127" s="9" t="s">
        <v>9</v>
      </c>
      <c r="B127" s="11">
        <v>4.8</v>
      </c>
    </row>
    <row r="128" spans="1:2" x14ac:dyDescent="0.35">
      <c r="A128" s="6">
        <v>5</v>
      </c>
      <c r="B128" s="11">
        <v>35</v>
      </c>
    </row>
    <row r="129" spans="1:2" x14ac:dyDescent="0.35">
      <c r="A129" s="9" t="s">
        <v>20</v>
      </c>
      <c r="B129" s="11">
        <v>5</v>
      </c>
    </row>
    <row r="130" spans="1:2" x14ac:dyDescent="0.35">
      <c r="A130" s="9" t="s">
        <v>83</v>
      </c>
      <c r="B130" s="11">
        <v>5</v>
      </c>
    </row>
    <row r="131" spans="1:2" x14ac:dyDescent="0.35">
      <c r="A131" s="9" t="s">
        <v>41</v>
      </c>
      <c r="B131" s="11">
        <v>5</v>
      </c>
    </row>
    <row r="132" spans="1:2" x14ac:dyDescent="0.35">
      <c r="A132" s="9" t="s">
        <v>40</v>
      </c>
      <c r="B132" s="11">
        <v>5</v>
      </c>
    </row>
    <row r="133" spans="1:2" x14ac:dyDescent="0.35">
      <c r="A133" s="9" t="s">
        <v>103</v>
      </c>
      <c r="B133" s="11">
        <v>5</v>
      </c>
    </row>
    <row r="134" spans="1:2" x14ac:dyDescent="0.35">
      <c r="A134" s="9" t="s">
        <v>22</v>
      </c>
      <c r="B134" s="11">
        <v>5</v>
      </c>
    </row>
    <row r="135" spans="1:2" x14ac:dyDescent="0.35">
      <c r="A135" s="9" t="s">
        <v>21</v>
      </c>
      <c r="B135" s="11">
        <v>5</v>
      </c>
    </row>
    <row r="136" spans="1:2" x14ac:dyDescent="0.35">
      <c r="A136" s="6" t="s">
        <v>121</v>
      </c>
      <c r="B136" s="11"/>
    </row>
    <row r="137" spans="1:2" x14ac:dyDescent="0.35">
      <c r="A137" s="9" t="s">
        <v>119</v>
      </c>
      <c r="B137" s="11"/>
    </row>
    <row r="138" spans="1:2" x14ac:dyDescent="0.35">
      <c r="A138" s="9" t="s">
        <v>118</v>
      </c>
      <c r="B138" s="11"/>
    </row>
    <row r="139" spans="1:2" x14ac:dyDescent="0.35">
      <c r="A139" s="9" t="s">
        <v>121</v>
      </c>
      <c r="B139" s="11"/>
    </row>
    <row r="140" spans="1:2" x14ac:dyDescent="0.35">
      <c r="A140" s="6" t="s">
        <v>122</v>
      </c>
      <c r="B140" s="11">
        <v>436.20000000000033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5A61B-5870-4291-81E3-6B475543E085}">
  <dimension ref="A3:C12"/>
  <sheetViews>
    <sheetView topLeftCell="C1" workbookViewId="0">
      <selection activeCell="A3" sqref="A3"/>
    </sheetView>
  </sheetViews>
  <sheetFormatPr defaultRowHeight="14.5" x14ac:dyDescent="0.35"/>
  <cols>
    <col min="1" max="1" width="36.08984375" bestFit="1" customWidth="1"/>
    <col min="2" max="2" width="13.08984375" bestFit="1" customWidth="1"/>
    <col min="3" max="3" width="20.36328125" bestFit="1" customWidth="1"/>
  </cols>
  <sheetData>
    <row r="3" spans="1:3" x14ac:dyDescent="0.35">
      <c r="A3" s="5" t="s">
        <v>120</v>
      </c>
      <c r="B3" t="s">
        <v>133</v>
      </c>
      <c r="C3" t="s">
        <v>134</v>
      </c>
    </row>
    <row r="4" spans="1:3" x14ac:dyDescent="0.35">
      <c r="A4" s="6" t="s">
        <v>121</v>
      </c>
      <c r="B4" s="11"/>
      <c r="C4" s="11"/>
    </row>
    <row r="5" spans="1:3" x14ac:dyDescent="0.35">
      <c r="A5" s="6" t="s">
        <v>125</v>
      </c>
      <c r="B5" s="11">
        <v>15</v>
      </c>
      <c r="C5" s="11">
        <v>50.79999999999999</v>
      </c>
    </row>
    <row r="6" spans="1:3" x14ac:dyDescent="0.35">
      <c r="A6" s="6" t="s">
        <v>126</v>
      </c>
      <c r="B6" s="11">
        <v>36</v>
      </c>
      <c r="C6" s="11">
        <v>27.799999999999997</v>
      </c>
    </row>
    <row r="7" spans="1:3" x14ac:dyDescent="0.35">
      <c r="A7" s="6" t="s">
        <v>127</v>
      </c>
      <c r="B7" s="11">
        <v>191</v>
      </c>
      <c r="C7" s="11">
        <v>49.3</v>
      </c>
    </row>
    <row r="8" spans="1:3" x14ac:dyDescent="0.35">
      <c r="A8" s="6" t="s">
        <v>128</v>
      </c>
      <c r="B8" s="11">
        <v>183</v>
      </c>
      <c r="C8" s="11">
        <v>83.300000000000011</v>
      </c>
    </row>
    <row r="9" spans="1:3" x14ac:dyDescent="0.35">
      <c r="A9" s="6" t="s">
        <v>129</v>
      </c>
      <c r="B9" s="11">
        <v>222</v>
      </c>
      <c r="C9" s="11">
        <v>178.80000000000007</v>
      </c>
    </row>
    <row r="10" spans="1:3" x14ac:dyDescent="0.35">
      <c r="A10" s="6" t="s">
        <v>130</v>
      </c>
      <c r="B10" s="11">
        <v>76</v>
      </c>
      <c r="C10" s="11">
        <v>42.300000000000004</v>
      </c>
    </row>
    <row r="11" spans="1:3" x14ac:dyDescent="0.35">
      <c r="A11" s="6" t="s">
        <v>131</v>
      </c>
      <c r="B11" s="11">
        <v>0</v>
      </c>
      <c r="C11" s="11">
        <v>3.9</v>
      </c>
    </row>
    <row r="12" spans="1:3" x14ac:dyDescent="0.35">
      <c r="A12" s="6" t="s">
        <v>122</v>
      </c>
      <c r="B12" s="11">
        <v>723</v>
      </c>
      <c r="C12" s="11">
        <v>436.20000000000005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ABA0-1D57-46D3-9C8B-B477C8DA6FED}">
  <dimension ref="A1"/>
  <sheetViews>
    <sheetView zoomScale="40" zoomScaleNormal="40" workbookViewId="0">
      <selection activeCell="AA24" sqref="AA24"/>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7B15-537A-480C-BDB4-8A9490DB6F04}">
  <dimension ref="A3:C28"/>
  <sheetViews>
    <sheetView workbookViewId="0">
      <selection activeCell="H18" sqref="H18"/>
    </sheetView>
  </sheetViews>
  <sheetFormatPr defaultRowHeight="14.5" x14ac:dyDescent="0.35"/>
  <cols>
    <col min="1" max="1" width="12.36328125" bestFit="1" customWidth="1"/>
    <col min="2" max="2" width="20.36328125" bestFit="1" customWidth="1"/>
    <col min="3" max="4" width="13.08984375" bestFit="1" customWidth="1"/>
  </cols>
  <sheetData>
    <row r="3" spans="1:3" x14ac:dyDescent="0.35">
      <c r="A3" s="5" t="s">
        <v>120</v>
      </c>
      <c r="B3" t="s">
        <v>134</v>
      </c>
      <c r="C3" t="s">
        <v>133</v>
      </c>
    </row>
    <row r="4" spans="1:3" x14ac:dyDescent="0.35">
      <c r="A4" s="6">
        <v>2</v>
      </c>
      <c r="B4" s="11">
        <v>2</v>
      </c>
      <c r="C4" s="11">
        <v>1</v>
      </c>
    </row>
    <row r="5" spans="1:3" x14ac:dyDescent="0.35">
      <c r="A5" s="6">
        <v>2.1</v>
      </c>
      <c r="B5" s="11">
        <v>4.2</v>
      </c>
      <c r="C5" s="11">
        <v>20</v>
      </c>
    </row>
    <row r="6" spans="1:3" x14ac:dyDescent="0.35">
      <c r="A6" s="6">
        <v>2.2000000000000002</v>
      </c>
      <c r="B6" s="11">
        <v>4.4000000000000004</v>
      </c>
      <c r="C6" s="11">
        <v>12</v>
      </c>
    </row>
    <row r="7" spans="1:3" x14ac:dyDescent="0.35">
      <c r="A7" s="6">
        <v>2.2999999999999998</v>
      </c>
      <c r="B7" s="11">
        <v>4.5999999999999996</v>
      </c>
      <c r="C7" s="11">
        <v>13</v>
      </c>
    </row>
    <row r="8" spans="1:3" x14ac:dyDescent="0.35">
      <c r="A8" s="6">
        <v>2.5</v>
      </c>
      <c r="B8" s="11">
        <v>2.5</v>
      </c>
      <c r="C8" s="11">
        <v>6</v>
      </c>
    </row>
    <row r="9" spans="1:3" x14ac:dyDescent="0.35">
      <c r="A9" s="6">
        <v>2.6</v>
      </c>
      <c r="B9" s="11">
        <v>2.6</v>
      </c>
      <c r="C9" s="11">
        <v>17</v>
      </c>
    </row>
    <row r="10" spans="1:3" x14ac:dyDescent="0.35">
      <c r="A10" s="6">
        <v>2.7</v>
      </c>
      <c r="B10" s="11">
        <v>2.7</v>
      </c>
      <c r="C10" s="11">
        <v>15</v>
      </c>
    </row>
    <row r="11" spans="1:3" x14ac:dyDescent="0.35">
      <c r="A11" s="6">
        <v>2.8</v>
      </c>
      <c r="B11" s="11">
        <v>2.8</v>
      </c>
      <c r="C11" s="11">
        <v>69</v>
      </c>
    </row>
    <row r="12" spans="1:3" x14ac:dyDescent="0.35">
      <c r="A12" s="6">
        <v>2.9</v>
      </c>
      <c r="B12" s="11">
        <v>2.9</v>
      </c>
      <c r="C12" s="11">
        <v>16</v>
      </c>
    </row>
    <row r="13" spans="1:3" x14ac:dyDescent="0.35">
      <c r="A13" s="6">
        <v>3</v>
      </c>
      <c r="B13" s="11">
        <v>15</v>
      </c>
      <c r="C13" s="11">
        <v>26</v>
      </c>
    </row>
    <row r="14" spans="1:3" x14ac:dyDescent="0.35">
      <c r="A14" s="6">
        <v>3.3</v>
      </c>
      <c r="B14" s="11">
        <v>3.3</v>
      </c>
      <c r="C14" s="11">
        <v>13</v>
      </c>
    </row>
    <row r="15" spans="1:3" x14ac:dyDescent="0.35">
      <c r="A15" s="6">
        <v>3.8</v>
      </c>
      <c r="B15" s="11">
        <v>11.399999999999999</v>
      </c>
      <c r="C15" s="11">
        <v>30</v>
      </c>
    </row>
    <row r="16" spans="1:3" x14ac:dyDescent="0.35">
      <c r="A16" s="6">
        <v>3.9</v>
      </c>
      <c r="B16" s="11">
        <v>214.5000000000002</v>
      </c>
      <c r="C16" s="11">
        <v>0</v>
      </c>
    </row>
    <row r="17" spans="1:3" x14ac:dyDescent="0.35">
      <c r="A17" s="6">
        <v>4</v>
      </c>
      <c r="B17" s="11">
        <v>16</v>
      </c>
      <c r="C17" s="11">
        <v>24</v>
      </c>
    </row>
    <row r="18" spans="1:3" x14ac:dyDescent="0.35">
      <c r="A18" s="6">
        <v>4.0999999999999996</v>
      </c>
      <c r="B18" s="11">
        <v>12.299999999999999</v>
      </c>
      <c r="C18" s="11">
        <v>46</v>
      </c>
    </row>
    <row r="19" spans="1:3" x14ac:dyDescent="0.35">
      <c r="A19" s="6">
        <v>4.2</v>
      </c>
      <c r="B19" s="11">
        <v>4.2</v>
      </c>
      <c r="C19" s="11">
        <v>9</v>
      </c>
    </row>
    <row r="20" spans="1:3" x14ac:dyDescent="0.35">
      <c r="A20" s="6">
        <v>4.3</v>
      </c>
      <c r="B20" s="11">
        <v>17.2</v>
      </c>
      <c r="C20" s="11">
        <v>61</v>
      </c>
    </row>
    <row r="21" spans="1:3" x14ac:dyDescent="0.35">
      <c r="A21" s="6">
        <v>4.4000000000000004</v>
      </c>
      <c r="B21" s="11">
        <v>4.4000000000000004</v>
      </c>
      <c r="C21" s="11">
        <v>14</v>
      </c>
    </row>
    <row r="22" spans="1:3" x14ac:dyDescent="0.35">
      <c r="A22" s="6">
        <v>4.5</v>
      </c>
      <c r="B22" s="11">
        <v>18</v>
      </c>
      <c r="C22" s="11">
        <v>42</v>
      </c>
    </row>
    <row r="23" spans="1:3" x14ac:dyDescent="0.35">
      <c r="A23" s="6">
        <v>4.5999999999999996</v>
      </c>
      <c r="B23" s="11">
        <v>23</v>
      </c>
      <c r="C23" s="11">
        <v>177</v>
      </c>
    </row>
    <row r="24" spans="1:3" x14ac:dyDescent="0.35">
      <c r="A24" s="6">
        <v>4.7</v>
      </c>
      <c r="B24" s="11">
        <v>18.8</v>
      </c>
      <c r="C24" s="11">
        <v>78</v>
      </c>
    </row>
    <row r="25" spans="1:3" x14ac:dyDescent="0.35">
      <c r="A25" s="6">
        <v>4.8</v>
      </c>
      <c r="B25" s="11">
        <v>14.399999999999999</v>
      </c>
      <c r="C25" s="11">
        <v>22</v>
      </c>
    </row>
    <row r="26" spans="1:3" x14ac:dyDescent="0.35">
      <c r="A26" s="6">
        <v>5</v>
      </c>
      <c r="B26" s="11">
        <v>35</v>
      </c>
      <c r="C26" s="11">
        <v>12</v>
      </c>
    </row>
    <row r="27" spans="1:3" x14ac:dyDescent="0.35">
      <c r="A27" s="6" t="s">
        <v>121</v>
      </c>
      <c r="B27" s="11"/>
      <c r="C27" s="11"/>
    </row>
    <row r="28" spans="1:3" x14ac:dyDescent="0.35">
      <c r="A28" s="6" t="s">
        <v>122</v>
      </c>
      <c r="B28" s="11">
        <v>436.20000000000016</v>
      </c>
      <c r="C28" s="1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87D4-3CD2-4BA3-BAA4-9E048803621A}">
  <dimension ref="A3:B117"/>
  <sheetViews>
    <sheetView workbookViewId="0">
      <selection activeCell="A3" sqref="A3"/>
    </sheetView>
  </sheetViews>
  <sheetFormatPr defaultRowHeight="14.5" x14ac:dyDescent="0.35"/>
  <cols>
    <col min="1" max="1" width="12.36328125" bestFit="1" customWidth="1"/>
    <col min="2" max="2" width="20.36328125" bestFit="1" customWidth="1"/>
  </cols>
  <sheetData>
    <row r="3" spans="1:2" x14ac:dyDescent="0.35">
      <c r="A3" s="5" t="s">
        <v>120</v>
      </c>
      <c r="B3" t="s">
        <v>134</v>
      </c>
    </row>
    <row r="4" spans="1:2" x14ac:dyDescent="0.35">
      <c r="A4" s="6">
        <v>1001</v>
      </c>
      <c r="B4" s="11">
        <v>4.5</v>
      </c>
    </row>
    <row r="5" spans="1:2" x14ac:dyDescent="0.35">
      <c r="A5" s="6">
        <v>1002</v>
      </c>
      <c r="B5" s="11">
        <v>4.0999999999999996</v>
      </c>
    </row>
    <row r="6" spans="1:2" x14ac:dyDescent="0.35">
      <c r="A6" s="6">
        <v>1003</v>
      </c>
      <c r="B6" s="11">
        <v>4.5999999999999996</v>
      </c>
    </row>
    <row r="7" spans="1:2" x14ac:dyDescent="0.35">
      <c r="A7" s="6">
        <v>1004</v>
      </c>
      <c r="B7" s="11">
        <v>4.7</v>
      </c>
    </row>
    <row r="8" spans="1:2" x14ac:dyDescent="0.35">
      <c r="A8" s="6">
        <v>1005</v>
      </c>
      <c r="B8" s="11">
        <v>4.8</v>
      </c>
    </row>
    <row r="9" spans="1:2" x14ac:dyDescent="0.35">
      <c r="A9" s="6">
        <v>1006</v>
      </c>
      <c r="B9" s="11">
        <v>4</v>
      </c>
    </row>
    <row r="10" spans="1:2" x14ac:dyDescent="0.35">
      <c r="A10" s="6">
        <v>1007</v>
      </c>
      <c r="B10" s="11">
        <v>4.5999999999999996</v>
      </c>
    </row>
    <row r="11" spans="1:2" x14ac:dyDescent="0.35">
      <c r="A11" s="6">
        <v>1008</v>
      </c>
      <c r="B11" s="11">
        <v>4</v>
      </c>
    </row>
    <row r="12" spans="1:2" x14ac:dyDescent="0.35">
      <c r="A12" s="6">
        <v>1009</v>
      </c>
      <c r="B12" s="11">
        <v>4.8</v>
      </c>
    </row>
    <row r="13" spans="1:2" x14ac:dyDescent="0.35">
      <c r="A13" s="6">
        <v>1010</v>
      </c>
      <c r="B13" s="11">
        <v>3.8</v>
      </c>
    </row>
    <row r="14" spans="1:2" x14ac:dyDescent="0.35">
      <c r="A14" s="6">
        <v>1011</v>
      </c>
      <c r="B14" s="11">
        <v>4.0999999999999996</v>
      </c>
    </row>
    <row r="15" spans="1:2" x14ac:dyDescent="0.35">
      <c r="A15" s="6">
        <v>1012</v>
      </c>
      <c r="B15" s="11">
        <v>4.7</v>
      </c>
    </row>
    <row r="16" spans="1:2" x14ac:dyDescent="0.35">
      <c r="A16" s="6">
        <v>1013</v>
      </c>
      <c r="B16" s="11">
        <v>4.8</v>
      </c>
    </row>
    <row r="17" spans="1:2" x14ac:dyDescent="0.35">
      <c r="A17" s="6">
        <v>1014</v>
      </c>
      <c r="B17" s="11">
        <v>4.5</v>
      </c>
    </row>
    <row r="18" spans="1:2" x14ac:dyDescent="0.35">
      <c r="A18" s="6">
        <v>1015</v>
      </c>
      <c r="B18" s="11">
        <v>4.2</v>
      </c>
    </row>
    <row r="19" spans="1:2" x14ac:dyDescent="0.35">
      <c r="A19" s="6">
        <v>1016</v>
      </c>
      <c r="B19" s="11">
        <v>5</v>
      </c>
    </row>
    <row r="20" spans="1:2" x14ac:dyDescent="0.35">
      <c r="A20" s="6">
        <v>1017</v>
      </c>
      <c r="B20" s="11">
        <v>5</v>
      </c>
    </row>
    <row r="21" spans="1:2" x14ac:dyDescent="0.35">
      <c r="A21" s="6">
        <v>1018</v>
      </c>
      <c r="B21" s="11">
        <v>5</v>
      </c>
    </row>
    <row r="22" spans="1:2" x14ac:dyDescent="0.35">
      <c r="A22" s="6">
        <v>1019</v>
      </c>
      <c r="B22" s="11">
        <v>4.5999999999999996</v>
      </c>
    </row>
    <row r="23" spans="1:2" x14ac:dyDescent="0.35">
      <c r="A23" s="6">
        <v>1020</v>
      </c>
      <c r="B23" s="11">
        <v>4.5999999999999996</v>
      </c>
    </row>
    <row r="24" spans="1:2" x14ac:dyDescent="0.35">
      <c r="A24" s="6">
        <v>1021</v>
      </c>
      <c r="B24" s="11">
        <v>3.3</v>
      </c>
    </row>
    <row r="25" spans="1:2" x14ac:dyDescent="0.35">
      <c r="A25" s="6">
        <v>1022</v>
      </c>
      <c r="B25" s="11">
        <v>3.9</v>
      </c>
    </row>
    <row r="26" spans="1:2" x14ac:dyDescent="0.35">
      <c r="A26" s="6">
        <v>1023</v>
      </c>
      <c r="B26" s="11">
        <v>4</v>
      </c>
    </row>
    <row r="27" spans="1:2" x14ac:dyDescent="0.35">
      <c r="A27" s="6">
        <v>1024</v>
      </c>
      <c r="B27" s="11">
        <v>4.4000000000000004</v>
      </c>
    </row>
    <row r="28" spans="1:2" x14ac:dyDescent="0.35">
      <c r="A28" s="6">
        <v>1025</v>
      </c>
      <c r="B28" s="11">
        <v>4.3</v>
      </c>
    </row>
    <row r="29" spans="1:2" x14ac:dyDescent="0.35">
      <c r="A29" s="6">
        <v>1026</v>
      </c>
      <c r="B29" s="11">
        <v>4.5999999999999996</v>
      </c>
    </row>
    <row r="30" spans="1:2" x14ac:dyDescent="0.35">
      <c r="A30" s="6">
        <v>1027</v>
      </c>
      <c r="B30" s="11">
        <v>3.8</v>
      </c>
    </row>
    <row r="31" spans="1:2" x14ac:dyDescent="0.35">
      <c r="A31" s="6">
        <v>1028</v>
      </c>
      <c r="B31" s="11">
        <v>3.8</v>
      </c>
    </row>
    <row r="32" spans="1:2" x14ac:dyDescent="0.35">
      <c r="A32" s="6">
        <v>1029</v>
      </c>
      <c r="B32" s="11">
        <v>4.0999999999999996</v>
      </c>
    </row>
    <row r="33" spans="1:2" x14ac:dyDescent="0.35">
      <c r="A33" s="6">
        <v>1030</v>
      </c>
      <c r="B33" s="11">
        <v>3.9</v>
      </c>
    </row>
    <row r="34" spans="1:2" x14ac:dyDescent="0.35">
      <c r="A34" s="6">
        <v>1031</v>
      </c>
      <c r="B34" s="11">
        <v>4.3</v>
      </c>
    </row>
    <row r="35" spans="1:2" x14ac:dyDescent="0.35">
      <c r="A35" s="6">
        <v>1032</v>
      </c>
      <c r="B35" s="11">
        <v>4.7</v>
      </c>
    </row>
    <row r="36" spans="1:2" x14ac:dyDescent="0.35">
      <c r="A36" s="6">
        <v>1033</v>
      </c>
      <c r="B36" s="11">
        <v>4.3</v>
      </c>
    </row>
    <row r="37" spans="1:2" x14ac:dyDescent="0.35">
      <c r="A37" s="6">
        <v>1034</v>
      </c>
      <c r="B37" s="11">
        <v>4.7</v>
      </c>
    </row>
    <row r="38" spans="1:2" x14ac:dyDescent="0.35">
      <c r="A38" s="6">
        <v>1035</v>
      </c>
      <c r="B38" s="11">
        <v>4.5</v>
      </c>
    </row>
    <row r="39" spans="1:2" x14ac:dyDescent="0.35">
      <c r="A39" s="6">
        <v>1036</v>
      </c>
      <c r="B39" s="11">
        <v>5</v>
      </c>
    </row>
    <row r="40" spans="1:2" x14ac:dyDescent="0.35">
      <c r="A40" s="6">
        <v>1037</v>
      </c>
      <c r="B40" s="11">
        <v>5</v>
      </c>
    </row>
    <row r="41" spans="1:2" x14ac:dyDescent="0.35">
      <c r="A41" s="6">
        <v>1038</v>
      </c>
      <c r="B41" s="11">
        <v>4.3</v>
      </c>
    </row>
    <row r="42" spans="1:2" x14ac:dyDescent="0.35">
      <c r="A42" s="6">
        <v>1039</v>
      </c>
      <c r="B42" s="11">
        <v>4.5</v>
      </c>
    </row>
    <row r="43" spans="1:2" x14ac:dyDescent="0.35">
      <c r="A43" s="6">
        <v>1040</v>
      </c>
      <c r="B43" s="11">
        <v>3.9</v>
      </c>
    </row>
    <row r="44" spans="1:2" x14ac:dyDescent="0.35">
      <c r="A44" s="6">
        <v>1041</v>
      </c>
      <c r="B44" s="11">
        <v>3.9</v>
      </c>
    </row>
    <row r="45" spans="1:2" x14ac:dyDescent="0.35">
      <c r="A45" s="6">
        <v>1042</v>
      </c>
      <c r="B45" s="11">
        <v>3.9</v>
      </c>
    </row>
    <row r="46" spans="1:2" x14ac:dyDescent="0.35">
      <c r="A46" s="6">
        <v>1043</v>
      </c>
      <c r="B46" s="11">
        <v>3.9</v>
      </c>
    </row>
    <row r="47" spans="1:2" x14ac:dyDescent="0.35">
      <c r="A47" s="6">
        <v>1044</v>
      </c>
      <c r="B47" s="11">
        <v>3.9</v>
      </c>
    </row>
    <row r="48" spans="1:2" x14ac:dyDescent="0.35">
      <c r="A48" s="6">
        <v>1045</v>
      </c>
      <c r="B48" s="11">
        <v>3.9</v>
      </c>
    </row>
    <row r="49" spans="1:2" x14ac:dyDescent="0.35">
      <c r="A49" s="6">
        <v>1046</v>
      </c>
      <c r="B49" s="11">
        <v>3.9</v>
      </c>
    </row>
    <row r="50" spans="1:2" x14ac:dyDescent="0.35">
      <c r="A50" s="6">
        <v>1047</v>
      </c>
      <c r="B50" s="11">
        <v>3.9</v>
      </c>
    </row>
    <row r="51" spans="1:2" x14ac:dyDescent="0.35">
      <c r="A51" s="6">
        <v>1048</v>
      </c>
      <c r="B51" s="11">
        <v>3.9</v>
      </c>
    </row>
    <row r="52" spans="1:2" x14ac:dyDescent="0.35">
      <c r="A52" s="6">
        <v>1049</v>
      </c>
      <c r="B52" s="11">
        <v>3.9</v>
      </c>
    </row>
    <row r="53" spans="1:2" x14ac:dyDescent="0.35">
      <c r="A53" s="6">
        <v>1050</v>
      </c>
      <c r="B53" s="11">
        <v>3.9</v>
      </c>
    </row>
    <row r="54" spans="1:2" x14ac:dyDescent="0.35">
      <c r="A54" s="6">
        <v>1051</v>
      </c>
      <c r="B54" s="11">
        <v>3.9</v>
      </c>
    </row>
    <row r="55" spans="1:2" x14ac:dyDescent="0.35">
      <c r="A55" s="6">
        <v>1052</v>
      </c>
      <c r="B55" s="11">
        <v>3.9</v>
      </c>
    </row>
    <row r="56" spans="1:2" x14ac:dyDescent="0.35">
      <c r="A56" s="6">
        <v>1053</v>
      </c>
      <c r="B56" s="11">
        <v>3.9</v>
      </c>
    </row>
    <row r="57" spans="1:2" x14ac:dyDescent="0.35">
      <c r="A57" s="6">
        <v>1054</v>
      </c>
      <c r="B57" s="11">
        <v>3.9</v>
      </c>
    </row>
    <row r="58" spans="1:2" x14ac:dyDescent="0.35">
      <c r="A58" s="6">
        <v>1055</v>
      </c>
      <c r="B58" s="11">
        <v>3.9</v>
      </c>
    </row>
    <row r="59" spans="1:2" x14ac:dyDescent="0.35">
      <c r="A59" s="6">
        <v>1056</v>
      </c>
      <c r="B59" s="11">
        <v>3.9</v>
      </c>
    </row>
    <row r="60" spans="1:2" x14ac:dyDescent="0.35">
      <c r="A60" s="6">
        <v>1057</v>
      </c>
      <c r="B60" s="11">
        <v>3.9</v>
      </c>
    </row>
    <row r="61" spans="1:2" x14ac:dyDescent="0.35">
      <c r="A61" s="6">
        <v>1058</v>
      </c>
      <c r="B61" s="11">
        <v>3.9</v>
      </c>
    </row>
    <row r="62" spans="1:2" x14ac:dyDescent="0.35">
      <c r="A62" s="6">
        <v>1059</v>
      </c>
      <c r="B62" s="11">
        <v>3.9</v>
      </c>
    </row>
    <row r="63" spans="1:2" x14ac:dyDescent="0.35">
      <c r="A63" s="6">
        <v>1060</v>
      </c>
      <c r="B63" s="11">
        <v>2.5</v>
      </c>
    </row>
    <row r="64" spans="1:2" x14ac:dyDescent="0.35">
      <c r="A64" s="6">
        <v>1061</v>
      </c>
      <c r="B64" s="11">
        <v>3</v>
      </c>
    </row>
    <row r="65" spans="1:2" x14ac:dyDescent="0.35">
      <c r="A65" s="6">
        <v>1062</v>
      </c>
      <c r="B65" s="11">
        <v>2.1</v>
      </c>
    </row>
    <row r="66" spans="1:2" x14ac:dyDescent="0.35">
      <c r="A66" s="6">
        <v>1063</v>
      </c>
      <c r="B66" s="11">
        <v>2.8</v>
      </c>
    </row>
    <row r="67" spans="1:2" x14ac:dyDescent="0.35">
      <c r="A67" s="6">
        <v>1064</v>
      </c>
      <c r="B67" s="11">
        <v>2.7</v>
      </c>
    </row>
    <row r="68" spans="1:2" x14ac:dyDescent="0.35">
      <c r="A68" s="6">
        <v>1065</v>
      </c>
      <c r="B68" s="11">
        <v>2.9</v>
      </c>
    </row>
    <row r="69" spans="1:2" x14ac:dyDescent="0.35">
      <c r="A69" s="6">
        <v>1066</v>
      </c>
      <c r="B69" s="11">
        <v>2.2000000000000002</v>
      </c>
    </row>
    <row r="70" spans="1:2" x14ac:dyDescent="0.35">
      <c r="A70" s="6">
        <v>1067</v>
      </c>
      <c r="B70" s="11">
        <v>2.2999999999999998</v>
      </c>
    </row>
    <row r="71" spans="1:2" x14ac:dyDescent="0.35">
      <c r="A71" s="6">
        <v>1068</v>
      </c>
      <c r="B71" s="11">
        <v>3</v>
      </c>
    </row>
    <row r="72" spans="1:2" x14ac:dyDescent="0.35">
      <c r="A72" s="6">
        <v>1069</v>
      </c>
      <c r="B72" s="11">
        <v>2.6</v>
      </c>
    </row>
    <row r="73" spans="1:2" x14ac:dyDescent="0.35">
      <c r="A73" s="6">
        <v>1070</v>
      </c>
      <c r="B73" s="11">
        <v>3</v>
      </c>
    </row>
    <row r="74" spans="1:2" x14ac:dyDescent="0.35">
      <c r="A74" s="6">
        <v>1071</v>
      </c>
      <c r="B74" s="11">
        <v>2.2999999999999998</v>
      </c>
    </row>
    <row r="75" spans="1:2" x14ac:dyDescent="0.35">
      <c r="A75" s="6">
        <v>1072</v>
      </c>
      <c r="B75" s="11">
        <v>3</v>
      </c>
    </row>
    <row r="76" spans="1:2" x14ac:dyDescent="0.35">
      <c r="A76" s="6">
        <v>1073</v>
      </c>
      <c r="B76" s="11">
        <v>2.2000000000000002</v>
      </c>
    </row>
    <row r="77" spans="1:2" x14ac:dyDescent="0.35">
      <c r="A77" s="6">
        <v>1074</v>
      </c>
      <c r="B77" s="11">
        <v>2.1</v>
      </c>
    </row>
    <row r="78" spans="1:2" x14ac:dyDescent="0.35">
      <c r="A78" s="6">
        <v>1075</v>
      </c>
      <c r="B78" s="11">
        <v>3.9</v>
      </c>
    </row>
    <row r="79" spans="1:2" x14ac:dyDescent="0.35">
      <c r="A79" s="6">
        <v>1076</v>
      </c>
      <c r="B79" s="11">
        <v>3.9</v>
      </c>
    </row>
    <row r="80" spans="1:2" x14ac:dyDescent="0.35">
      <c r="A80" s="6">
        <v>1077</v>
      </c>
      <c r="B80" s="11">
        <v>3.9</v>
      </c>
    </row>
    <row r="81" spans="1:2" x14ac:dyDescent="0.35">
      <c r="A81" s="6">
        <v>1078</v>
      </c>
      <c r="B81" s="11">
        <v>3.9</v>
      </c>
    </row>
    <row r="82" spans="1:2" x14ac:dyDescent="0.35">
      <c r="A82" s="6">
        <v>1079</v>
      </c>
      <c r="B82" s="11">
        <v>3</v>
      </c>
    </row>
    <row r="83" spans="1:2" x14ac:dyDescent="0.35">
      <c r="A83" s="6">
        <v>1080</v>
      </c>
      <c r="B83" s="11">
        <v>5</v>
      </c>
    </row>
    <row r="84" spans="1:2" x14ac:dyDescent="0.35">
      <c r="A84" s="6">
        <v>1081</v>
      </c>
      <c r="B84" s="11">
        <v>3.9</v>
      </c>
    </row>
    <row r="85" spans="1:2" x14ac:dyDescent="0.35">
      <c r="A85" s="6">
        <v>1082</v>
      </c>
      <c r="B85" s="11">
        <v>3.9</v>
      </c>
    </row>
    <row r="86" spans="1:2" x14ac:dyDescent="0.35">
      <c r="A86" s="6">
        <v>1083</v>
      </c>
      <c r="B86" s="11">
        <v>4</v>
      </c>
    </row>
    <row r="87" spans="1:2" x14ac:dyDescent="0.35">
      <c r="A87" s="6">
        <v>1084</v>
      </c>
      <c r="B87" s="11">
        <v>3.9</v>
      </c>
    </row>
    <row r="88" spans="1:2" x14ac:dyDescent="0.35">
      <c r="A88" s="6">
        <v>1085</v>
      </c>
      <c r="B88" s="11">
        <v>3.9</v>
      </c>
    </row>
    <row r="89" spans="1:2" x14ac:dyDescent="0.35">
      <c r="A89" s="6">
        <v>1086</v>
      </c>
      <c r="B89" s="11">
        <v>3.9</v>
      </c>
    </row>
    <row r="90" spans="1:2" x14ac:dyDescent="0.35">
      <c r="A90" s="6">
        <v>1087</v>
      </c>
      <c r="B90" s="11">
        <v>3.9</v>
      </c>
    </row>
    <row r="91" spans="1:2" x14ac:dyDescent="0.35">
      <c r="A91" s="6">
        <v>1088</v>
      </c>
      <c r="B91" s="11">
        <v>3.9</v>
      </c>
    </row>
    <row r="92" spans="1:2" x14ac:dyDescent="0.35">
      <c r="A92" s="6">
        <v>1089</v>
      </c>
      <c r="B92" s="11">
        <v>3.9</v>
      </c>
    </row>
    <row r="93" spans="1:2" x14ac:dyDescent="0.35">
      <c r="A93" s="6">
        <v>1090</v>
      </c>
      <c r="B93" s="11">
        <v>3.9</v>
      </c>
    </row>
    <row r="94" spans="1:2" x14ac:dyDescent="0.35">
      <c r="A94" s="6">
        <v>1091</v>
      </c>
      <c r="B94" s="11">
        <v>3.9</v>
      </c>
    </row>
    <row r="95" spans="1:2" x14ac:dyDescent="0.35">
      <c r="A95" s="6">
        <v>1092</v>
      </c>
      <c r="B95" s="11">
        <v>3.9</v>
      </c>
    </row>
    <row r="96" spans="1:2" x14ac:dyDescent="0.35">
      <c r="A96" s="6">
        <v>1093</v>
      </c>
      <c r="B96" s="11">
        <v>3.9</v>
      </c>
    </row>
    <row r="97" spans="1:2" x14ac:dyDescent="0.35">
      <c r="A97" s="6">
        <v>1094</v>
      </c>
      <c r="B97" s="11">
        <v>3.9</v>
      </c>
    </row>
    <row r="98" spans="1:2" x14ac:dyDescent="0.35">
      <c r="A98" s="6">
        <v>1095</v>
      </c>
      <c r="B98" s="11">
        <v>3.9</v>
      </c>
    </row>
    <row r="99" spans="1:2" x14ac:dyDescent="0.35">
      <c r="A99" s="6">
        <v>1096</v>
      </c>
      <c r="B99" s="11">
        <v>3.9</v>
      </c>
    </row>
    <row r="100" spans="1:2" x14ac:dyDescent="0.35">
      <c r="A100" s="6">
        <v>1097</v>
      </c>
      <c r="B100" s="11">
        <v>3.9</v>
      </c>
    </row>
    <row r="101" spans="1:2" x14ac:dyDescent="0.35">
      <c r="A101" s="6">
        <v>1098</v>
      </c>
      <c r="B101" s="11">
        <v>3.9</v>
      </c>
    </row>
    <row r="102" spans="1:2" x14ac:dyDescent="0.35">
      <c r="A102" s="6">
        <v>1099</v>
      </c>
      <c r="B102" s="11">
        <v>3.9</v>
      </c>
    </row>
    <row r="103" spans="1:2" x14ac:dyDescent="0.35">
      <c r="A103" s="6">
        <v>1100</v>
      </c>
      <c r="B103" s="11">
        <v>3.9</v>
      </c>
    </row>
    <row r="104" spans="1:2" x14ac:dyDescent="0.35">
      <c r="A104" s="6">
        <v>1101</v>
      </c>
      <c r="B104" s="11">
        <v>3.9</v>
      </c>
    </row>
    <row r="105" spans="1:2" x14ac:dyDescent="0.35">
      <c r="A105" s="6">
        <v>1102</v>
      </c>
      <c r="B105" s="11">
        <v>5</v>
      </c>
    </row>
    <row r="106" spans="1:2" x14ac:dyDescent="0.35">
      <c r="A106" s="6">
        <v>1103</v>
      </c>
      <c r="B106" s="11">
        <v>3.9</v>
      </c>
    </row>
    <row r="107" spans="1:2" x14ac:dyDescent="0.35">
      <c r="A107" s="6">
        <v>1104</v>
      </c>
      <c r="B107" s="11">
        <v>3.9</v>
      </c>
    </row>
    <row r="108" spans="1:2" x14ac:dyDescent="0.35">
      <c r="A108" s="6">
        <v>1105</v>
      </c>
      <c r="B108" s="11">
        <v>3.9</v>
      </c>
    </row>
    <row r="109" spans="1:2" x14ac:dyDescent="0.35">
      <c r="A109" s="6">
        <v>1106</v>
      </c>
      <c r="B109" s="11">
        <v>3.9</v>
      </c>
    </row>
    <row r="110" spans="1:2" x14ac:dyDescent="0.35">
      <c r="A110" s="6">
        <v>1107</v>
      </c>
      <c r="B110" s="11">
        <v>3.9</v>
      </c>
    </row>
    <row r="111" spans="1:2" x14ac:dyDescent="0.35">
      <c r="A111" s="6">
        <v>1108</v>
      </c>
      <c r="B111" s="11">
        <v>3.9</v>
      </c>
    </row>
    <row r="112" spans="1:2" x14ac:dyDescent="0.35">
      <c r="A112" s="6">
        <v>1109</v>
      </c>
      <c r="B112" s="11">
        <v>3.9</v>
      </c>
    </row>
    <row r="113" spans="1:2" x14ac:dyDescent="0.35">
      <c r="A113" s="6">
        <v>1110</v>
      </c>
      <c r="B113" s="11">
        <v>3.9</v>
      </c>
    </row>
    <row r="114" spans="1:2" x14ac:dyDescent="0.35">
      <c r="A114" s="6">
        <v>1111</v>
      </c>
      <c r="B114" s="11">
        <v>2</v>
      </c>
    </row>
    <row r="115" spans="1:2" x14ac:dyDescent="0.35">
      <c r="A115" s="6">
        <v>1112</v>
      </c>
      <c r="B115" s="11">
        <v>3.9</v>
      </c>
    </row>
    <row r="116" spans="1:2" x14ac:dyDescent="0.35">
      <c r="A116" s="6" t="s">
        <v>121</v>
      </c>
      <c r="B116" s="11"/>
    </row>
    <row r="117" spans="1:2" x14ac:dyDescent="0.35">
      <c r="A117" s="6" t="s">
        <v>122</v>
      </c>
      <c r="B117" s="11">
        <v>436.19999999999936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26B4-AF1E-48F3-A1A9-E1D2FCE025E3}">
  <dimension ref="A3:B12"/>
  <sheetViews>
    <sheetView workbookViewId="0">
      <selection activeCell="A12" sqref="A12"/>
    </sheetView>
  </sheetViews>
  <sheetFormatPr defaultRowHeight="14.5" x14ac:dyDescent="0.35"/>
  <cols>
    <col min="1" max="1" width="36.08984375" bestFit="1" customWidth="1"/>
    <col min="2" max="2" width="13.08984375" bestFit="1" customWidth="1"/>
  </cols>
  <sheetData>
    <row r="3" spans="1:2" x14ac:dyDescent="0.35">
      <c r="A3" s="5" t="s">
        <v>120</v>
      </c>
      <c r="B3" t="s">
        <v>133</v>
      </c>
    </row>
    <row r="4" spans="1:2" x14ac:dyDescent="0.35">
      <c r="A4" s="6" t="s">
        <v>121</v>
      </c>
      <c r="B4" s="11"/>
    </row>
    <row r="5" spans="1:2" x14ac:dyDescent="0.35">
      <c r="A5" s="6" t="s">
        <v>125</v>
      </c>
      <c r="B5" s="11">
        <v>15</v>
      </c>
    </row>
    <row r="6" spans="1:2" x14ac:dyDescent="0.35">
      <c r="A6" s="6" t="s">
        <v>126</v>
      </c>
      <c r="B6" s="11">
        <v>36</v>
      </c>
    </row>
    <row r="7" spans="1:2" x14ac:dyDescent="0.35">
      <c r="A7" s="6" t="s">
        <v>127</v>
      </c>
      <c r="B7" s="11">
        <v>191</v>
      </c>
    </row>
    <row r="8" spans="1:2" x14ac:dyDescent="0.35">
      <c r="A8" s="6" t="s">
        <v>128</v>
      </c>
      <c r="B8" s="11">
        <v>183</v>
      </c>
    </row>
    <row r="9" spans="1:2" x14ac:dyDescent="0.35">
      <c r="A9" s="6" t="s">
        <v>129</v>
      </c>
      <c r="B9" s="11">
        <v>222</v>
      </c>
    </row>
    <row r="10" spans="1:2" x14ac:dyDescent="0.35">
      <c r="A10" s="6" t="s">
        <v>130</v>
      </c>
      <c r="B10" s="11">
        <v>76</v>
      </c>
    </row>
    <row r="11" spans="1:2" x14ac:dyDescent="0.35">
      <c r="A11" s="6" t="s">
        <v>131</v>
      </c>
      <c r="B11" s="11">
        <v>0</v>
      </c>
    </row>
    <row r="12" spans="1:2" x14ac:dyDescent="0.35">
      <c r="A12" s="6" t="s">
        <v>122</v>
      </c>
      <c r="B12" s="11">
        <v>723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30CC-10B5-4CC3-A054-231E31363C3F}">
  <dimension ref="A1:O116"/>
  <sheetViews>
    <sheetView tabSelected="1" topLeftCell="F1" workbookViewId="0">
      <selection activeCell="L102" sqref="L102"/>
    </sheetView>
  </sheetViews>
  <sheetFormatPr defaultRowHeight="14.5" x14ac:dyDescent="0.35"/>
  <cols>
    <col min="1" max="1" width="9.1796875" bestFit="1" customWidth="1"/>
    <col min="2" max="2" width="89.1796875" bestFit="1" customWidth="1"/>
    <col min="3" max="4" width="18.36328125" style="8" bestFit="1" customWidth="1"/>
    <col min="5" max="5" width="10.36328125" style="4" bestFit="1" customWidth="1"/>
    <col min="6" max="6" width="8.7265625" bestFit="1" customWidth="1"/>
    <col min="7" max="7" width="17.81640625" bestFit="1" customWidth="1"/>
    <col min="8" max="8" width="20.81640625" bestFit="1" customWidth="1"/>
    <col min="9" max="9" width="18.7265625" bestFit="1" customWidth="1"/>
    <col min="10" max="10" width="20.54296875" bestFit="1" customWidth="1"/>
    <col min="11" max="11" width="42.6328125" bestFit="1" customWidth="1"/>
    <col min="15" max="15" width="8.7265625" style="4"/>
  </cols>
  <sheetData>
    <row r="1" spans="1:15" s="1" customFormat="1" ht="18.5" x14ac:dyDescent="0.45">
      <c r="A1" s="1" t="s">
        <v>123</v>
      </c>
      <c r="B1" s="1" t="s">
        <v>0</v>
      </c>
      <c r="C1" s="7" t="s">
        <v>1</v>
      </c>
      <c r="D1" s="7" t="s">
        <v>2</v>
      </c>
      <c r="E1" s="3" t="s">
        <v>3</v>
      </c>
      <c r="F1" s="1" t="s">
        <v>4</v>
      </c>
      <c r="G1" s="1" t="s">
        <v>114</v>
      </c>
      <c r="H1" s="1" t="s">
        <v>115</v>
      </c>
      <c r="I1" s="1" t="s">
        <v>116</v>
      </c>
      <c r="J1" s="1" t="s">
        <v>117</v>
      </c>
      <c r="O1" s="3"/>
    </row>
    <row r="2" spans="1:15" x14ac:dyDescent="0.35">
      <c r="A2">
        <v>1001</v>
      </c>
      <c r="B2" t="s">
        <v>5</v>
      </c>
      <c r="C2" s="8">
        <v>950</v>
      </c>
      <c r="D2" s="8">
        <v>1525</v>
      </c>
      <c r="E2" s="4">
        <f t="shared" ref="E2:E33" si="0">(D2-C2)/D2</f>
        <v>0.37704918032786883</v>
      </c>
      <c r="F2">
        <v>2</v>
      </c>
      <c r="G2">
        <v>4.5</v>
      </c>
      <c r="H2" s="2">
        <f t="shared" ref="H2:H33" si="1">D2-C2</f>
        <v>575</v>
      </c>
      <c r="I2" t="str" cm="1">
        <f t="array" ref="I2">_xlfn.IFS(G2&gt;=4.5,"Excellent",G2&gt;=3,"Average",G2&lt;3,"poor")</f>
        <v>Excellent</v>
      </c>
      <c r="J2" t="str" cm="1">
        <f t="array" ref="J2">_xlfn.IFS(E2&gt;40%,"High Discount",E2&gt;=20%,"Median Discount",E2&lt;20%,"Low Discount")</f>
        <v>Median Discount</v>
      </c>
      <c r="K2" s="4"/>
    </row>
    <row r="3" spans="1:15" x14ac:dyDescent="0.35">
      <c r="A3">
        <v>1002</v>
      </c>
      <c r="B3" t="s">
        <v>6</v>
      </c>
      <c r="C3" s="8">
        <v>527</v>
      </c>
      <c r="D3" s="8">
        <v>999</v>
      </c>
      <c r="E3" s="4">
        <f t="shared" si="0"/>
        <v>0.47247247247247248</v>
      </c>
      <c r="F3">
        <v>14</v>
      </c>
      <c r="G3">
        <v>4.0999999999999996</v>
      </c>
      <c r="H3" s="2">
        <f t="shared" si="1"/>
        <v>472</v>
      </c>
      <c r="I3" t="str" cm="1">
        <f t="array" ref="I3">_xlfn.IFS(G3&gt;=4.5,"Excellent",G3&gt;=3,"Average",G3&lt;3,"poor")</f>
        <v>Average</v>
      </c>
      <c r="J3" t="str" cm="1">
        <f t="array" ref="J3">_xlfn.IFS(E3&gt;40%,"High Discount",E3&gt;=20%,"Median Discount",E3&lt;20%,"Low Discount")</f>
        <v>High Discount</v>
      </c>
    </row>
    <row r="4" spans="1:15" x14ac:dyDescent="0.35">
      <c r="A4">
        <v>1003</v>
      </c>
      <c r="B4" t="s">
        <v>7</v>
      </c>
      <c r="C4" s="8">
        <v>2199</v>
      </c>
      <c r="D4" s="8">
        <v>2923</v>
      </c>
      <c r="E4" s="4">
        <f t="shared" si="0"/>
        <v>0.24769072870338693</v>
      </c>
      <c r="F4">
        <v>24</v>
      </c>
      <c r="G4">
        <v>4.5999999999999996</v>
      </c>
      <c r="H4" s="2">
        <f t="shared" si="1"/>
        <v>724</v>
      </c>
      <c r="I4" t="str" cm="1">
        <f t="array" ref="I4">_xlfn.IFS(G4&gt;=4.5,"Excellent",G4&gt;=3,"Average",G4&lt;3,"poor")</f>
        <v>Excellent</v>
      </c>
      <c r="J4" t="str" cm="1">
        <f t="array" ref="J4">_xlfn.IFS(E4&gt;40%,"High Discount",E4&gt;=20%,"Median Discount",E4&lt;20%,"Low Discount")</f>
        <v>Median Discount</v>
      </c>
    </row>
    <row r="5" spans="1:15" x14ac:dyDescent="0.35">
      <c r="A5">
        <v>1004</v>
      </c>
      <c r="B5" t="s">
        <v>8</v>
      </c>
      <c r="C5" s="8">
        <v>1580</v>
      </c>
      <c r="D5" s="8">
        <v>2499</v>
      </c>
      <c r="E5" s="4">
        <f t="shared" si="0"/>
        <v>0.36774709883953582</v>
      </c>
      <c r="F5">
        <v>7</v>
      </c>
      <c r="G5">
        <v>4.7</v>
      </c>
      <c r="H5" s="2">
        <f t="shared" si="1"/>
        <v>919</v>
      </c>
      <c r="I5" t="str" cm="1">
        <f t="array" ref="I5">_xlfn.IFS(G5&gt;=4.5,"Excellent",G5&gt;=3,"Average",G5&lt;3,"poor")</f>
        <v>Excellent</v>
      </c>
      <c r="J5" t="str" cm="1">
        <f t="array" ref="J5">_xlfn.IFS(E5&gt;40%,"High Discount",E5&gt;=20%,"Median Discount",E5&lt;20%,"Low Discount")</f>
        <v>Median Discount</v>
      </c>
    </row>
    <row r="6" spans="1:15" x14ac:dyDescent="0.35">
      <c r="A6">
        <v>1005</v>
      </c>
      <c r="B6" t="s">
        <v>9</v>
      </c>
      <c r="C6" s="8">
        <v>1740</v>
      </c>
      <c r="D6" s="8">
        <v>2356</v>
      </c>
      <c r="E6" s="4">
        <f t="shared" si="0"/>
        <v>0.26146010186757218</v>
      </c>
      <c r="F6">
        <v>5</v>
      </c>
      <c r="G6">
        <v>4.8</v>
      </c>
      <c r="H6" s="2">
        <f t="shared" si="1"/>
        <v>616</v>
      </c>
      <c r="I6" t="str" cm="1">
        <f t="array" ref="I6">_xlfn.IFS(G6&gt;=4.5,"Excellent",G6&gt;=3,"Average",G6&lt;3,"poor")</f>
        <v>Excellent</v>
      </c>
      <c r="J6" t="str" cm="1">
        <f t="array" ref="J6">_xlfn.IFS(E6&gt;40%,"High Discount",E6&gt;=20%,"Median Discount",E6&lt;20%,"Low Discount")</f>
        <v>Median Discount</v>
      </c>
    </row>
    <row r="7" spans="1:15" x14ac:dyDescent="0.35">
      <c r="A7">
        <v>1006</v>
      </c>
      <c r="B7" t="s">
        <v>10</v>
      </c>
      <c r="C7" s="8">
        <v>2999</v>
      </c>
      <c r="D7" s="8">
        <v>3290</v>
      </c>
      <c r="E7" s="4">
        <f t="shared" si="0"/>
        <v>8.8449848024316116E-2</v>
      </c>
      <c r="F7">
        <v>15</v>
      </c>
      <c r="G7">
        <v>4</v>
      </c>
      <c r="H7" s="2">
        <f t="shared" si="1"/>
        <v>291</v>
      </c>
      <c r="I7" t="str" cm="1">
        <f t="array" ref="I7">_xlfn.IFS(G7&gt;=4.5,"Excellent",G7&gt;=3,"Average",G7&lt;3,"poor")</f>
        <v>Average</v>
      </c>
      <c r="J7" t="str" cm="1">
        <f t="array" ref="J7">_xlfn.IFS(E7&gt;40%,"High Discount",E7&gt;=20%,"Median Discount",E7&lt;20%,"Low Discount")</f>
        <v>Low Discount</v>
      </c>
    </row>
    <row r="8" spans="1:15" x14ac:dyDescent="0.35">
      <c r="A8">
        <v>1007</v>
      </c>
      <c r="B8" t="s">
        <v>11</v>
      </c>
      <c r="C8" s="8">
        <v>2319</v>
      </c>
      <c r="D8" s="8">
        <v>3032</v>
      </c>
      <c r="E8" s="4">
        <f t="shared" si="0"/>
        <v>0.23515831134564644</v>
      </c>
      <c r="F8">
        <v>55</v>
      </c>
      <c r="G8">
        <v>4.5999999999999996</v>
      </c>
      <c r="H8" s="2">
        <f t="shared" si="1"/>
        <v>713</v>
      </c>
      <c r="I8" t="str" cm="1">
        <f t="array" ref="I8">_xlfn.IFS(G8&gt;=4.5,"Excellent",G8&gt;=3,"Average",G8&lt;3,"poor")</f>
        <v>Excellent</v>
      </c>
      <c r="J8" t="str" cm="1">
        <f t="array" ref="J8">_xlfn.IFS(E8&gt;40%,"High Discount",E8&gt;=20%,"Median Discount",E8&lt;20%,"Low Discount")</f>
        <v>Median Discount</v>
      </c>
    </row>
    <row r="9" spans="1:15" x14ac:dyDescent="0.35">
      <c r="A9">
        <v>1008</v>
      </c>
      <c r="B9" t="s">
        <v>12</v>
      </c>
      <c r="C9" s="8">
        <v>988</v>
      </c>
      <c r="D9" s="8">
        <v>1580</v>
      </c>
      <c r="E9" s="4">
        <f t="shared" si="0"/>
        <v>0.37468354430379747</v>
      </c>
      <c r="F9">
        <v>2</v>
      </c>
      <c r="G9">
        <v>4</v>
      </c>
      <c r="H9" s="2">
        <f t="shared" si="1"/>
        <v>592</v>
      </c>
      <c r="I9" t="str" cm="1">
        <f t="array" ref="I9">_xlfn.IFS(G9&gt;=4.5,"Excellent",G9&gt;=3,"Average",G9&lt;3,"poor")</f>
        <v>Average</v>
      </c>
      <c r="J9" t="str" cm="1">
        <f t="array" ref="J9">_xlfn.IFS(E9&gt;40%,"High Discount",E9&gt;=20%,"Median Discount",E9&lt;20%,"Low Discount")</f>
        <v>Median Discount</v>
      </c>
    </row>
    <row r="10" spans="1:15" x14ac:dyDescent="0.35">
      <c r="A10">
        <v>1009</v>
      </c>
      <c r="B10" t="s">
        <v>13</v>
      </c>
      <c r="C10" s="8">
        <v>1274</v>
      </c>
      <c r="D10" s="8">
        <v>2800</v>
      </c>
      <c r="E10" s="4">
        <f t="shared" si="0"/>
        <v>0.54500000000000004</v>
      </c>
      <c r="F10">
        <v>5</v>
      </c>
      <c r="G10">
        <v>4.8</v>
      </c>
      <c r="H10" s="2">
        <f t="shared" si="1"/>
        <v>1526</v>
      </c>
      <c r="I10" t="str" cm="1">
        <f t="array" ref="I10">_xlfn.IFS(G10&gt;=4.5,"Excellent",G10&gt;=3,"Average",G10&lt;3,"poor")</f>
        <v>Excellent</v>
      </c>
      <c r="J10" t="str" cm="1">
        <f t="array" ref="J10">_xlfn.IFS(E10&gt;40%,"High Discount",E10&gt;=20%,"Median Discount",E10&lt;20%,"Low Discount")</f>
        <v>High Discount</v>
      </c>
    </row>
    <row r="11" spans="1:15" x14ac:dyDescent="0.35">
      <c r="A11">
        <v>1010</v>
      </c>
      <c r="B11" t="s">
        <v>14</v>
      </c>
      <c r="C11" s="8">
        <v>1600</v>
      </c>
      <c r="D11" s="8">
        <v>2929</v>
      </c>
      <c r="E11" s="4">
        <f t="shared" si="0"/>
        <v>0.45373847729600547</v>
      </c>
      <c r="F11">
        <v>5</v>
      </c>
      <c r="G11">
        <v>3.8</v>
      </c>
      <c r="H11" s="2">
        <f t="shared" si="1"/>
        <v>1329</v>
      </c>
      <c r="I11" t="str" cm="1">
        <f t="array" ref="I11">_xlfn.IFS(G11&gt;=4.5,"Excellent",G11&gt;=3,"Average",G11&lt;3,"poor")</f>
        <v>Average</v>
      </c>
      <c r="J11" t="str" cm="1">
        <f t="array" ref="J11">_xlfn.IFS(E11&gt;40%,"High Discount",E11&gt;=20%,"Median Discount",E11&lt;20%,"Low Discount")</f>
        <v>High Discount</v>
      </c>
    </row>
    <row r="12" spans="1:15" x14ac:dyDescent="0.35">
      <c r="A12">
        <v>1011</v>
      </c>
      <c r="B12" t="s">
        <v>15</v>
      </c>
      <c r="C12" s="8">
        <v>799</v>
      </c>
      <c r="D12" s="8">
        <v>999</v>
      </c>
      <c r="E12" s="4">
        <f t="shared" si="0"/>
        <v>0.20020020020020021</v>
      </c>
      <c r="F12">
        <v>12</v>
      </c>
      <c r="G12">
        <v>4.0999999999999996</v>
      </c>
      <c r="H12" s="2">
        <f t="shared" si="1"/>
        <v>200</v>
      </c>
      <c r="I12" t="str" cm="1">
        <f t="array" ref="I12">_xlfn.IFS(G12&gt;=4.5,"Excellent",G12&gt;=3,"Average",G12&lt;3,"poor")</f>
        <v>Average</v>
      </c>
      <c r="J12" t="str" cm="1">
        <f t="array" ref="J12">_xlfn.IFS(E12&gt;40%,"High Discount",E12&gt;=20%,"Median Discount",E12&lt;20%,"Low Discount")</f>
        <v>Median Discount</v>
      </c>
    </row>
    <row r="13" spans="1:15" x14ac:dyDescent="0.35">
      <c r="A13">
        <v>1012</v>
      </c>
      <c r="B13" t="s">
        <v>16</v>
      </c>
      <c r="C13" s="8">
        <v>990</v>
      </c>
      <c r="D13" s="8">
        <v>1500</v>
      </c>
      <c r="E13" s="4">
        <f t="shared" si="0"/>
        <v>0.34</v>
      </c>
      <c r="F13">
        <v>39</v>
      </c>
      <c r="G13">
        <v>4.7</v>
      </c>
      <c r="H13" s="2">
        <f t="shared" si="1"/>
        <v>510</v>
      </c>
      <c r="I13" t="str" cm="1">
        <f t="array" ref="I13">_xlfn.IFS(G13&gt;=4.5,"Excellent",G13&gt;=3,"Average",G13&lt;3,"poor")</f>
        <v>Excellent</v>
      </c>
      <c r="J13" t="str" cm="1">
        <f t="array" ref="J13">_xlfn.IFS(E13&gt;40%,"High Discount",E13&gt;=20%,"Median Discount",E13&lt;20%,"Low Discount")</f>
        <v>Median Discount</v>
      </c>
    </row>
    <row r="14" spans="1:15" x14ac:dyDescent="0.35">
      <c r="A14">
        <v>1013</v>
      </c>
      <c r="B14" t="s">
        <v>17</v>
      </c>
      <c r="C14" s="8">
        <v>552</v>
      </c>
      <c r="D14" s="8">
        <v>1035</v>
      </c>
      <c r="E14" s="4">
        <f t="shared" si="0"/>
        <v>0.46666666666666667</v>
      </c>
      <c r="F14">
        <v>12</v>
      </c>
      <c r="G14">
        <v>4.8</v>
      </c>
      <c r="H14" s="2">
        <f t="shared" si="1"/>
        <v>483</v>
      </c>
      <c r="I14" t="str" cm="1">
        <f t="array" ref="I14">_xlfn.IFS(G14&gt;=4.5,"Excellent",G14&gt;=3,"Average",G14&lt;3,"poor")</f>
        <v>Excellent</v>
      </c>
      <c r="J14" t="str" cm="1">
        <f t="array" ref="J14">_xlfn.IFS(E14&gt;40%,"High Discount",E14&gt;=20%,"Median Discount",E14&lt;20%,"Low Discount")</f>
        <v>High Discount</v>
      </c>
    </row>
    <row r="15" spans="1:15" x14ac:dyDescent="0.35">
      <c r="A15">
        <v>1014</v>
      </c>
      <c r="B15" t="s">
        <v>18</v>
      </c>
      <c r="C15" s="8">
        <v>501</v>
      </c>
      <c r="D15" s="8">
        <v>860</v>
      </c>
      <c r="E15" s="4">
        <f t="shared" si="0"/>
        <v>0.41744186046511628</v>
      </c>
      <c r="F15">
        <v>6</v>
      </c>
      <c r="G15">
        <v>4.5</v>
      </c>
      <c r="H15" s="2">
        <f t="shared" si="1"/>
        <v>359</v>
      </c>
      <c r="I15" t="str" cm="1">
        <f t="array" ref="I15">_xlfn.IFS(G15&gt;=4.5,"Excellent",G15&gt;=3,"Average",G15&lt;3,"poor")</f>
        <v>Excellent</v>
      </c>
      <c r="J15" t="str" cm="1">
        <f t="array" ref="J15">_xlfn.IFS(E15&gt;40%,"High Discount",E15&gt;=20%,"Median Discount",E15&lt;20%,"Low Discount")</f>
        <v>High Discount</v>
      </c>
    </row>
    <row r="16" spans="1:15" x14ac:dyDescent="0.35">
      <c r="A16">
        <v>1015</v>
      </c>
      <c r="B16" t="s">
        <v>19</v>
      </c>
      <c r="C16" s="8">
        <v>1680</v>
      </c>
      <c r="D16" s="8">
        <v>2499</v>
      </c>
      <c r="E16" s="4">
        <f t="shared" si="0"/>
        <v>0.32773109243697479</v>
      </c>
      <c r="F16">
        <v>9</v>
      </c>
      <c r="G16">
        <v>4.2</v>
      </c>
      <c r="H16" s="2">
        <f t="shared" si="1"/>
        <v>819</v>
      </c>
      <c r="I16" t="str" cm="1">
        <f t="array" ref="I16">_xlfn.IFS(G16&gt;=4.5,"Excellent",G16&gt;=3,"Average",G16&lt;3,"poor")</f>
        <v>Average</v>
      </c>
      <c r="J16" t="str" cm="1">
        <f t="array" ref="J16">_xlfn.IFS(E16&gt;40%,"High Discount",E16&gt;=20%,"Median Discount",E16&lt;20%,"Low Discount")</f>
        <v>Median Discount</v>
      </c>
    </row>
    <row r="17" spans="1:10" x14ac:dyDescent="0.35">
      <c r="A17">
        <v>1016</v>
      </c>
      <c r="B17" t="s">
        <v>20</v>
      </c>
      <c r="C17" s="8">
        <v>332</v>
      </c>
      <c r="D17" s="8">
        <v>684</v>
      </c>
      <c r="E17" s="4">
        <f t="shared" si="0"/>
        <v>0.51461988304093564</v>
      </c>
      <c r="F17">
        <v>2</v>
      </c>
      <c r="G17">
        <v>5</v>
      </c>
      <c r="H17" s="2">
        <f t="shared" si="1"/>
        <v>352</v>
      </c>
      <c r="I17" t="str" cm="1">
        <f t="array" ref="I17">_xlfn.IFS(G17&gt;=4.5,"Excellent",G17&gt;=3,"Average",G17&lt;3,"poor")</f>
        <v>Excellent</v>
      </c>
      <c r="J17" t="str" cm="1">
        <f t="array" ref="J17">_xlfn.IFS(E17&gt;40%,"High Discount",E17&gt;=20%,"Median Discount",E17&lt;20%,"Low Discount")</f>
        <v>High Discount</v>
      </c>
    </row>
    <row r="18" spans="1:10" x14ac:dyDescent="0.35">
      <c r="A18">
        <v>1017</v>
      </c>
      <c r="B18" t="s">
        <v>21</v>
      </c>
      <c r="C18" s="8">
        <v>195</v>
      </c>
      <c r="D18" s="8">
        <v>360</v>
      </c>
      <c r="E18" s="4">
        <f t="shared" si="0"/>
        <v>0.45833333333333331</v>
      </c>
      <c r="F18">
        <v>2</v>
      </c>
      <c r="G18">
        <v>5</v>
      </c>
      <c r="H18" s="2">
        <f t="shared" si="1"/>
        <v>165</v>
      </c>
      <c r="I18" t="str" cm="1">
        <f t="array" ref="I18">_xlfn.IFS(G18&gt;=4.5,"Excellent",G18&gt;=3,"Average",G18&lt;3,"poor")</f>
        <v>Excellent</v>
      </c>
      <c r="J18" t="str" cm="1">
        <f t="array" ref="J18">_xlfn.IFS(E18&gt;40%,"High Discount",E18&gt;=20%,"Median Discount",E18&lt;20%,"Low Discount")</f>
        <v>High Discount</v>
      </c>
    </row>
    <row r="19" spans="1:10" x14ac:dyDescent="0.35">
      <c r="A19">
        <v>1018</v>
      </c>
      <c r="B19" t="s">
        <v>22</v>
      </c>
      <c r="C19" s="8">
        <v>2025</v>
      </c>
      <c r="D19" s="8">
        <v>3971</v>
      </c>
      <c r="E19" s="4">
        <f t="shared" si="0"/>
        <v>0.49005288340468395</v>
      </c>
      <c r="F19">
        <v>3</v>
      </c>
      <c r="G19">
        <v>5</v>
      </c>
      <c r="H19" s="2">
        <f t="shared" si="1"/>
        <v>1946</v>
      </c>
      <c r="I19" t="str" cm="1">
        <f t="array" ref="I19">_xlfn.IFS(G19&gt;=4.5,"Excellent",G19&gt;=3,"Average",G19&lt;3,"poor")</f>
        <v>Excellent</v>
      </c>
      <c r="J19" t="str" cm="1">
        <f t="array" ref="J19">_xlfn.IFS(E19&gt;40%,"High Discount",E19&gt;=20%,"Median Discount",E19&lt;20%,"Low Discount")</f>
        <v>High Discount</v>
      </c>
    </row>
    <row r="20" spans="1:10" x14ac:dyDescent="0.35">
      <c r="A20">
        <v>1019</v>
      </c>
      <c r="B20" t="s">
        <v>23</v>
      </c>
      <c r="C20" s="8">
        <v>2999</v>
      </c>
      <c r="D20" s="8">
        <v>3699</v>
      </c>
      <c r="E20" s="4">
        <f t="shared" si="0"/>
        <v>0.18924033522573669</v>
      </c>
      <c r="F20">
        <v>5</v>
      </c>
      <c r="G20">
        <v>4.5999999999999996</v>
      </c>
      <c r="H20" s="2">
        <f t="shared" si="1"/>
        <v>700</v>
      </c>
      <c r="I20" t="str" cm="1">
        <f t="array" ref="I20">_xlfn.IFS(G20&gt;=4.5,"Excellent",G20&gt;=3,"Average",G20&lt;3,"poor")</f>
        <v>Excellent</v>
      </c>
      <c r="J20" t="str" cm="1">
        <f t="array" ref="J20">_xlfn.IFS(E20&gt;40%,"High Discount",E20&gt;=20%,"Median Discount",E20&lt;20%,"Low Discount")</f>
        <v>Low Discount</v>
      </c>
    </row>
    <row r="21" spans="1:10" x14ac:dyDescent="0.35">
      <c r="A21">
        <v>1020</v>
      </c>
      <c r="B21" t="s">
        <v>24</v>
      </c>
      <c r="C21" s="8">
        <v>998</v>
      </c>
      <c r="D21" s="8">
        <v>1966</v>
      </c>
      <c r="E21" s="4">
        <f t="shared" si="0"/>
        <v>0.49237029501525942</v>
      </c>
      <c r="F21">
        <v>44</v>
      </c>
      <c r="G21">
        <v>4.5999999999999996</v>
      </c>
      <c r="H21" s="2">
        <f t="shared" si="1"/>
        <v>968</v>
      </c>
      <c r="I21" t="str" cm="1">
        <f t="array" ref="I21">_xlfn.IFS(G21&gt;=4.5,"Excellent",G21&gt;=3,"Average",G21&lt;3,"poor")</f>
        <v>Excellent</v>
      </c>
      <c r="J21" t="str" cm="1">
        <f t="array" ref="J21">_xlfn.IFS(E21&gt;40%,"High Discount",E21&gt;=20%,"Median Discount",E21&lt;20%,"Low Discount")</f>
        <v>High Discount</v>
      </c>
    </row>
    <row r="22" spans="1:10" x14ac:dyDescent="0.35">
      <c r="A22">
        <v>1021</v>
      </c>
      <c r="B22" t="s">
        <v>25</v>
      </c>
      <c r="C22" s="8">
        <v>38</v>
      </c>
      <c r="D22" s="8">
        <v>80</v>
      </c>
      <c r="E22" s="4">
        <f t="shared" si="0"/>
        <v>0.52500000000000002</v>
      </c>
      <c r="F22">
        <v>13</v>
      </c>
      <c r="G22">
        <v>3.3</v>
      </c>
      <c r="H22" s="2">
        <f t="shared" si="1"/>
        <v>42</v>
      </c>
      <c r="I22" t="str" cm="1">
        <f t="array" ref="I22">_xlfn.IFS(G22&gt;=4.5,"Excellent",G22&gt;=3,"Average",G22&lt;3,"poor")</f>
        <v>Average</v>
      </c>
      <c r="J22" t="str" cm="1">
        <f t="array" ref="J22">_xlfn.IFS(E22&gt;40%,"High Discount",E22&gt;=20%,"Median Discount",E22&lt;20%,"Low Discount")</f>
        <v>High Discount</v>
      </c>
    </row>
    <row r="23" spans="1:10" x14ac:dyDescent="0.35">
      <c r="A23">
        <v>1022</v>
      </c>
      <c r="B23" t="s">
        <v>26</v>
      </c>
      <c r="C23" s="8">
        <v>1860</v>
      </c>
      <c r="D23" s="8">
        <v>3220</v>
      </c>
      <c r="E23" s="4">
        <f t="shared" si="0"/>
        <v>0.42236024844720499</v>
      </c>
      <c r="F23">
        <v>0</v>
      </c>
      <c r="G23">
        <v>3.9</v>
      </c>
      <c r="H23" s="2">
        <f t="shared" si="1"/>
        <v>1360</v>
      </c>
      <c r="I23" t="str" cm="1">
        <f t="array" ref="I23">_xlfn.IFS(G23&gt;=4.5,"Excellent",G23&gt;=3,"Average",G23&lt;3,"poor")</f>
        <v>Average</v>
      </c>
      <c r="J23" t="str" cm="1">
        <f t="array" ref="J23">_xlfn.IFS(E23&gt;40%,"High Discount",E23&gt;=20%,"Median Discount",E23&lt;20%,"Low Discount")</f>
        <v>High Discount</v>
      </c>
    </row>
    <row r="24" spans="1:10" x14ac:dyDescent="0.35">
      <c r="A24">
        <v>1023</v>
      </c>
      <c r="B24" t="s">
        <v>27</v>
      </c>
      <c r="C24" s="8">
        <v>880</v>
      </c>
      <c r="D24" s="8">
        <v>1350</v>
      </c>
      <c r="E24" s="4">
        <f t="shared" si="0"/>
        <v>0.34814814814814815</v>
      </c>
      <c r="F24">
        <v>6</v>
      </c>
      <c r="G24">
        <v>4</v>
      </c>
      <c r="H24" s="2">
        <f t="shared" si="1"/>
        <v>470</v>
      </c>
      <c r="I24" t="str" cm="1">
        <f t="array" ref="I24">_xlfn.IFS(G24&gt;=4.5,"Excellent",G24&gt;=3,"Average",G24&lt;3,"poor")</f>
        <v>Average</v>
      </c>
      <c r="J24" t="str" cm="1">
        <f t="array" ref="J24">_xlfn.IFS(E24&gt;40%,"High Discount",E24&gt;=20%,"Median Discount",E24&lt;20%,"Low Discount")</f>
        <v>Median Discount</v>
      </c>
    </row>
    <row r="25" spans="1:10" x14ac:dyDescent="0.35">
      <c r="A25">
        <v>1024</v>
      </c>
      <c r="B25" t="s">
        <v>28</v>
      </c>
      <c r="C25" s="8">
        <v>1650</v>
      </c>
      <c r="D25" s="8">
        <v>2150</v>
      </c>
      <c r="E25" s="4">
        <f t="shared" si="0"/>
        <v>0.23255813953488372</v>
      </c>
      <c r="F25">
        <v>14</v>
      </c>
      <c r="G25">
        <v>4.4000000000000004</v>
      </c>
      <c r="H25" s="2">
        <f t="shared" si="1"/>
        <v>500</v>
      </c>
      <c r="I25" t="str" cm="1">
        <f t="array" ref="I25">_xlfn.IFS(G25&gt;=4.5,"Excellent",G25&gt;=3,"Average",G25&lt;3,"poor")</f>
        <v>Average</v>
      </c>
      <c r="J25" t="str" cm="1">
        <f t="array" ref="J25">_xlfn.IFS(E25&gt;40%,"High Discount",E25&gt;=20%,"Median Discount",E25&lt;20%,"Low Discount")</f>
        <v>Median Discount</v>
      </c>
    </row>
    <row r="26" spans="1:10" x14ac:dyDescent="0.35">
      <c r="A26">
        <v>1025</v>
      </c>
      <c r="B26" t="s">
        <v>29</v>
      </c>
      <c r="C26" s="8">
        <v>2048</v>
      </c>
      <c r="D26" s="8">
        <v>4500</v>
      </c>
      <c r="E26" s="4">
        <f t="shared" si="0"/>
        <v>0.54488888888888887</v>
      </c>
      <c r="F26">
        <v>7</v>
      </c>
      <c r="G26">
        <v>4.3</v>
      </c>
      <c r="H26" s="2">
        <f t="shared" si="1"/>
        <v>2452</v>
      </c>
      <c r="I26" t="str" cm="1">
        <f t="array" ref="I26">_xlfn.IFS(G26&gt;=4.5,"Excellent",G26&gt;=3,"Average",G26&lt;3,"poor")</f>
        <v>Average</v>
      </c>
      <c r="J26" t="str" cm="1">
        <f t="array" ref="J26">_xlfn.IFS(E26&gt;40%,"High Discount",E26&gt;=20%,"Median Discount",E26&lt;20%,"Low Discount")</f>
        <v>High Discount</v>
      </c>
    </row>
    <row r="27" spans="1:10" x14ac:dyDescent="0.35">
      <c r="A27">
        <v>1026</v>
      </c>
      <c r="B27" t="s">
        <v>30</v>
      </c>
      <c r="C27" s="8">
        <v>420</v>
      </c>
      <c r="D27" s="8">
        <v>647</v>
      </c>
      <c r="E27" s="4">
        <f t="shared" si="0"/>
        <v>0.3508500772797527</v>
      </c>
      <c r="F27">
        <v>49</v>
      </c>
      <c r="G27">
        <v>4.5999999999999996</v>
      </c>
      <c r="H27" s="2">
        <f t="shared" si="1"/>
        <v>227</v>
      </c>
      <c r="I27" t="str" cm="1">
        <f t="array" ref="I27">_xlfn.IFS(G27&gt;=4.5,"Excellent",G27&gt;=3,"Average",G27&lt;3,"poor")</f>
        <v>Excellent</v>
      </c>
      <c r="J27" t="str" cm="1">
        <f t="array" ref="J27">_xlfn.IFS(E27&gt;40%,"High Discount",E27&gt;=20%,"Median Discount",E27&lt;20%,"Low Discount")</f>
        <v>Median Discount</v>
      </c>
    </row>
    <row r="28" spans="1:10" x14ac:dyDescent="0.35">
      <c r="A28">
        <v>1027</v>
      </c>
      <c r="B28" t="s">
        <v>31</v>
      </c>
      <c r="C28" s="8">
        <v>2880</v>
      </c>
      <c r="D28" s="8">
        <v>3520</v>
      </c>
      <c r="E28" s="4">
        <f t="shared" si="0"/>
        <v>0.18181818181818182</v>
      </c>
      <c r="F28">
        <v>12</v>
      </c>
      <c r="G28">
        <v>3.8</v>
      </c>
      <c r="H28" s="2">
        <f t="shared" si="1"/>
        <v>640</v>
      </c>
      <c r="I28" t="str" cm="1">
        <f t="array" ref="I28">_xlfn.IFS(G28&gt;=4.5,"Excellent",G28&gt;=3,"Average",G28&lt;3,"poor")</f>
        <v>Average</v>
      </c>
      <c r="J28" t="str" cm="1">
        <f t="array" ref="J28">_xlfn.IFS(E28&gt;40%,"High Discount",E28&gt;=20%,"Median Discount",E28&lt;20%,"Low Discount")</f>
        <v>Low Discount</v>
      </c>
    </row>
    <row r="29" spans="1:10" x14ac:dyDescent="0.35">
      <c r="A29">
        <v>1028</v>
      </c>
      <c r="B29" t="s">
        <v>32</v>
      </c>
      <c r="C29" s="8">
        <v>1350</v>
      </c>
      <c r="D29" s="8">
        <v>1990</v>
      </c>
      <c r="E29" s="4">
        <f t="shared" si="0"/>
        <v>0.32160804020100503</v>
      </c>
      <c r="F29">
        <v>13</v>
      </c>
      <c r="G29">
        <v>3.8</v>
      </c>
      <c r="H29" s="2">
        <f t="shared" si="1"/>
        <v>640</v>
      </c>
      <c r="I29" t="str" cm="1">
        <f t="array" ref="I29">_xlfn.IFS(G29&gt;=4.5,"Excellent",G29&gt;=3,"Average",G29&lt;3,"poor")</f>
        <v>Average</v>
      </c>
      <c r="J29" t="str" cm="1">
        <f t="array" ref="J29">_xlfn.IFS(E29&gt;40%,"High Discount",E29&gt;=20%,"Median Discount",E29&lt;20%,"Low Discount")</f>
        <v>Median Discount</v>
      </c>
    </row>
    <row r="30" spans="1:10" x14ac:dyDescent="0.35">
      <c r="A30">
        <v>1029</v>
      </c>
      <c r="B30" t="s">
        <v>33</v>
      </c>
      <c r="C30" s="8">
        <v>1758</v>
      </c>
      <c r="D30" s="8">
        <v>2499</v>
      </c>
      <c r="E30" s="4">
        <f t="shared" si="0"/>
        <v>0.2965186074429772</v>
      </c>
      <c r="F30">
        <v>20</v>
      </c>
      <c r="G30">
        <v>4.0999999999999996</v>
      </c>
      <c r="H30" s="2">
        <f t="shared" si="1"/>
        <v>741</v>
      </c>
      <c r="I30" t="str" cm="1">
        <f t="array" ref="I30">_xlfn.IFS(G30&gt;=4.5,"Excellent",G30&gt;=3,"Average",G30&lt;3,"poor")</f>
        <v>Average</v>
      </c>
      <c r="J30" t="str" cm="1">
        <f t="array" ref="J30">_xlfn.IFS(E30&gt;40%,"High Discount",E30&gt;=20%,"Median Discount",E30&lt;20%,"Low Discount")</f>
        <v>Median Discount</v>
      </c>
    </row>
    <row r="31" spans="1:10" x14ac:dyDescent="0.35">
      <c r="A31">
        <v>1030</v>
      </c>
      <c r="B31" t="s">
        <v>34</v>
      </c>
      <c r="C31" s="8">
        <v>2200</v>
      </c>
      <c r="D31" s="8">
        <v>4080</v>
      </c>
      <c r="E31" s="4">
        <f t="shared" si="0"/>
        <v>0.46078431372549017</v>
      </c>
      <c r="F31">
        <v>0</v>
      </c>
      <c r="G31">
        <v>3.9</v>
      </c>
      <c r="H31" s="2">
        <f t="shared" si="1"/>
        <v>1880</v>
      </c>
      <c r="I31" t="str" cm="1">
        <f t="array" ref="I31">_xlfn.IFS(G31&gt;=4.5,"Excellent",G31&gt;=3,"Average",G31&lt;3,"poor")</f>
        <v>Average</v>
      </c>
      <c r="J31" t="str" cm="1">
        <f t="array" ref="J31">_xlfn.IFS(E31&gt;40%,"High Discount",E31&gt;=20%,"Median Discount",E31&lt;20%,"Low Discount")</f>
        <v>High Discount</v>
      </c>
    </row>
    <row r="32" spans="1:10" x14ac:dyDescent="0.35">
      <c r="A32">
        <v>1031</v>
      </c>
      <c r="B32" t="s">
        <v>35</v>
      </c>
      <c r="C32" s="8">
        <v>185</v>
      </c>
      <c r="D32" s="8">
        <v>382</v>
      </c>
      <c r="E32" s="4">
        <f t="shared" si="0"/>
        <v>0.51570680628272247</v>
      </c>
      <c r="F32">
        <v>9</v>
      </c>
      <c r="G32">
        <v>4.3</v>
      </c>
      <c r="H32" s="2">
        <f t="shared" si="1"/>
        <v>197</v>
      </c>
      <c r="I32" t="str" cm="1">
        <f t="array" ref="I32">_xlfn.IFS(G32&gt;=4.5,"Excellent",G32&gt;=3,"Average",G32&lt;3,"poor")</f>
        <v>Average</v>
      </c>
      <c r="J32" t="str" cm="1">
        <f t="array" ref="J32">_xlfn.IFS(E32&gt;40%,"High Discount",E32&gt;=20%,"Median Discount",E32&lt;20%,"Low Discount")</f>
        <v>High Discount</v>
      </c>
    </row>
    <row r="33" spans="1:10" x14ac:dyDescent="0.35">
      <c r="A33">
        <v>1032</v>
      </c>
      <c r="B33" t="s">
        <v>36</v>
      </c>
      <c r="C33" s="8">
        <v>980</v>
      </c>
      <c r="D33" s="8">
        <v>1490</v>
      </c>
      <c r="E33" s="4">
        <f t="shared" si="0"/>
        <v>0.34228187919463088</v>
      </c>
      <c r="F33">
        <v>12</v>
      </c>
      <c r="G33">
        <v>4.7</v>
      </c>
      <c r="H33" s="2">
        <f t="shared" si="1"/>
        <v>510</v>
      </c>
      <c r="I33" t="str" cm="1">
        <f t="array" ref="I33">_xlfn.IFS(G33&gt;=4.5,"Excellent",G33&gt;=3,"Average",G33&lt;3,"poor")</f>
        <v>Excellent</v>
      </c>
      <c r="J33" t="str" cm="1">
        <f t="array" ref="J33">_xlfn.IFS(E33&gt;40%,"High Discount",E33&gt;=20%,"Median Discount",E33&lt;20%,"Low Discount")</f>
        <v>Median Discount</v>
      </c>
    </row>
    <row r="34" spans="1:10" x14ac:dyDescent="0.35">
      <c r="A34">
        <v>1033</v>
      </c>
      <c r="B34" t="s">
        <v>37</v>
      </c>
      <c r="C34" s="8">
        <v>1820</v>
      </c>
      <c r="D34" s="8">
        <v>3490</v>
      </c>
      <c r="E34" s="4">
        <f t="shared" ref="E34:E65" si="2">(D34-C34)/D34</f>
        <v>0.47851002865329512</v>
      </c>
      <c r="F34">
        <v>9</v>
      </c>
      <c r="G34">
        <v>4.3</v>
      </c>
      <c r="H34" s="2">
        <f t="shared" ref="H34:H65" si="3">D34-C34</f>
        <v>1670</v>
      </c>
      <c r="I34" t="str" cm="1">
        <f t="array" ref="I34">_xlfn.IFS(G34&gt;=4.5,"Excellent",G34&gt;=3,"Average",G34&lt;3,"poor")</f>
        <v>Average</v>
      </c>
      <c r="J34" t="str" cm="1">
        <f t="array" ref="J34">_xlfn.IFS(E34&gt;40%,"High Discount",E34&gt;=20%,"Median Discount",E34&lt;20%,"Low Discount")</f>
        <v>High Discount</v>
      </c>
    </row>
    <row r="35" spans="1:10" x14ac:dyDescent="0.35">
      <c r="A35">
        <v>1034</v>
      </c>
      <c r="B35" t="s">
        <v>38</v>
      </c>
      <c r="C35" s="8">
        <v>1940</v>
      </c>
      <c r="D35" s="8">
        <v>2650</v>
      </c>
      <c r="E35" s="4">
        <f t="shared" si="2"/>
        <v>0.26792452830188679</v>
      </c>
      <c r="F35">
        <v>20</v>
      </c>
      <c r="G35">
        <v>4.7</v>
      </c>
      <c r="H35" s="2">
        <f t="shared" si="3"/>
        <v>710</v>
      </c>
      <c r="I35" t="str" cm="1">
        <f t="array" ref="I35">_xlfn.IFS(G35&gt;=4.5,"Excellent",G35&gt;=3,"Average",G35&lt;3,"poor")</f>
        <v>Excellent</v>
      </c>
      <c r="J35" t="str" cm="1">
        <f t="array" ref="J35">_xlfn.IFS(E35&gt;40%,"High Discount",E35&gt;=20%,"Median Discount",E35&lt;20%,"Low Discount")</f>
        <v>Median Discount</v>
      </c>
    </row>
    <row r="36" spans="1:10" x14ac:dyDescent="0.35">
      <c r="A36">
        <v>1035</v>
      </c>
      <c r="B36" t="s">
        <v>39</v>
      </c>
      <c r="C36" s="8">
        <v>1980</v>
      </c>
      <c r="D36" s="8">
        <v>2699</v>
      </c>
      <c r="E36" s="4">
        <f t="shared" si="2"/>
        <v>0.26639496109670247</v>
      </c>
      <c r="F36">
        <v>32</v>
      </c>
      <c r="G36">
        <v>4.5</v>
      </c>
      <c r="H36" s="2">
        <f t="shared" si="3"/>
        <v>719</v>
      </c>
      <c r="I36" t="str" cm="1">
        <f t="array" ref="I36">_xlfn.IFS(G36&gt;=4.5,"Excellent",G36&gt;=3,"Average",G36&lt;3,"poor")</f>
        <v>Excellent</v>
      </c>
      <c r="J36" t="str" cm="1">
        <f t="array" ref="J36">_xlfn.IFS(E36&gt;40%,"High Discount",E36&gt;=20%,"Median Discount",E36&lt;20%,"Low Discount")</f>
        <v>Median Discount</v>
      </c>
    </row>
    <row r="37" spans="1:10" x14ac:dyDescent="0.35">
      <c r="A37">
        <v>1036</v>
      </c>
      <c r="B37" t="s">
        <v>40</v>
      </c>
      <c r="C37" s="8">
        <v>1620</v>
      </c>
      <c r="D37" s="8">
        <v>2690</v>
      </c>
      <c r="E37" s="4">
        <f t="shared" si="2"/>
        <v>0.39776951672862454</v>
      </c>
      <c r="F37">
        <v>1</v>
      </c>
      <c r="G37">
        <v>5</v>
      </c>
      <c r="H37" s="2">
        <f t="shared" si="3"/>
        <v>1070</v>
      </c>
      <c r="I37" t="str" cm="1">
        <f t="array" ref="I37">_xlfn.IFS(G37&gt;=4.5,"Excellent",G37&gt;=3,"Average",G37&lt;3,"poor")</f>
        <v>Excellent</v>
      </c>
      <c r="J37" t="str" cm="1">
        <f t="array" ref="J37">_xlfn.IFS(E37&gt;40%,"High Discount",E37&gt;=20%,"Median Discount",E37&lt;20%,"Low Discount")</f>
        <v>Median Discount</v>
      </c>
    </row>
    <row r="38" spans="1:10" x14ac:dyDescent="0.35">
      <c r="A38">
        <v>1037</v>
      </c>
      <c r="B38" t="s">
        <v>41</v>
      </c>
      <c r="C38" s="8">
        <v>171</v>
      </c>
      <c r="D38" s="8">
        <v>360</v>
      </c>
      <c r="E38" s="4">
        <f t="shared" si="2"/>
        <v>0.52500000000000002</v>
      </c>
      <c r="F38">
        <v>2</v>
      </c>
      <c r="G38">
        <v>5</v>
      </c>
      <c r="H38" s="2">
        <f t="shared" si="3"/>
        <v>189</v>
      </c>
      <c r="I38" t="str" cm="1">
        <f t="array" ref="I38">_xlfn.IFS(G38&gt;=4.5,"Excellent",G38&gt;=3,"Average",G38&lt;3,"poor")</f>
        <v>Excellent</v>
      </c>
      <c r="J38" t="str" cm="1">
        <f t="array" ref="J38">_xlfn.IFS(E38&gt;40%,"High Discount",E38&gt;=20%,"Median Discount",E38&lt;20%,"Low Discount")</f>
        <v>High Discount</v>
      </c>
    </row>
    <row r="39" spans="1:10" x14ac:dyDescent="0.35">
      <c r="A39">
        <v>1038</v>
      </c>
      <c r="B39" t="s">
        <v>42</v>
      </c>
      <c r="C39" s="8">
        <v>389</v>
      </c>
      <c r="D39" s="8">
        <v>656</v>
      </c>
      <c r="E39" s="4">
        <f t="shared" si="2"/>
        <v>0.40701219512195119</v>
      </c>
      <c r="F39">
        <v>36</v>
      </c>
      <c r="G39">
        <v>4.3</v>
      </c>
      <c r="H39" s="2">
        <f t="shared" si="3"/>
        <v>267</v>
      </c>
      <c r="I39" t="str" cm="1">
        <f t="array" ref="I39">_xlfn.IFS(G39&gt;=4.5,"Excellent",G39&gt;=3,"Average",G39&lt;3,"poor")</f>
        <v>Average</v>
      </c>
      <c r="J39" t="str" cm="1">
        <f t="array" ref="J39">_xlfn.IFS(E39&gt;40%,"High Discount",E39&gt;=20%,"Median Discount",E39&lt;20%,"Low Discount")</f>
        <v>High Discount</v>
      </c>
    </row>
    <row r="40" spans="1:10" x14ac:dyDescent="0.35">
      <c r="A40">
        <v>1039</v>
      </c>
      <c r="B40" t="s">
        <v>43</v>
      </c>
      <c r="C40" s="8">
        <v>1800</v>
      </c>
      <c r="D40" s="8">
        <v>2700</v>
      </c>
      <c r="E40" s="4">
        <f t="shared" si="2"/>
        <v>0.33333333333333331</v>
      </c>
      <c r="F40">
        <v>2</v>
      </c>
      <c r="G40">
        <v>4.5</v>
      </c>
      <c r="H40" s="2">
        <f t="shared" si="3"/>
        <v>900</v>
      </c>
      <c r="I40" t="str" cm="1">
        <f t="array" ref="I40">_xlfn.IFS(G40&gt;=4.5,"Excellent",G40&gt;=3,"Average",G40&lt;3,"poor")</f>
        <v>Excellent</v>
      </c>
      <c r="J40" t="str" cm="1">
        <f t="array" ref="J40">_xlfn.IFS(E40&gt;40%,"High Discount",E40&gt;=20%,"Median Discount",E40&lt;20%,"Low Discount")</f>
        <v>Median Discount</v>
      </c>
    </row>
    <row r="41" spans="1:10" x14ac:dyDescent="0.35">
      <c r="A41">
        <v>1040</v>
      </c>
      <c r="B41" t="s">
        <v>44</v>
      </c>
      <c r="C41" s="8">
        <v>2750</v>
      </c>
      <c r="D41" s="8">
        <v>4471</v>
      </c>
      <c r="E41" s="4">
        <f t="shared" si="2"/>
        <v>0.38492507269067322</v>
      </c>
      <c r="F41">
        <v>0</v>
      </c>
      <c r="G41">
        <v>3.9</v>
      </c>
      <c r="H41" s="2">
        <f t="shared" si="3"/>
        <v>1721</v>
      </c>
      <c r="I41" t="str" cm="1">
        <f t="array" ref="I41">_xlfn.IFS(G41&gt;=4.5,"Excellent",G41&gt;=3,"Average",G41&lt;3,"poor")</f>
        <v>Average</v>
      </c>
      <c r="J41" t="str" cm="1">
        <f t="array" ref="J41">_xlfn.IFS(E41&gt;40%,"High Discount",E41&gt;=20%,"Median Discount",E41&lt;20%,"Low Discount")</f>
        <v>Median Discount</v>
      </c>
    </row>
    <row r="42" spans="1:10" x14ac:dyDescent="0.35">
      <c r="A42">
        <v>1041</v>
      </c>
      <c r="B42" t="s">
        <v>45</v>
      </c>
      <c r="C42" s="8">
        <v>475</v>
      </c>
      <c r="D42" s="8">
        <v>931</v>
      </c>
      <c r="E42" s="4">
        <f t="shared" si="2"/>
        <v>0.48979591836734693</v>
      </c>
      <c r="F42">
        <v>0</v>
      </c>
      <c r="G42">
        <v>3.9</v>
      </c>
      <c r="H42" s="2">
        <f t="shared" si="3"/>
        <v>456</v>
      </c>
      <c r="I42" t="str" cm="1">
        <f t="array" ref="I42">_xlfn.IFS(G42&gt;=4.5,"Excellent",G42&gt;=3,"Average",G42&lt;3,"poor")</f>
        <v>Average</v>
      </c>
      <c r="J42" t="str" cm="1">
        <f t="array" ref="J42">_xlfn.IFS(E42&gt;40%,"High Discount",E42&gt;=20%,"Median Discount",E42&lt;20%,"Low Discount")</f>
        <v>High Discount</v>
      </c>
    </row>
    <row r="43" spans="1:10" x14ac:dyDescent="0.35">
      <c r="A43">
        <v>1042</v>
      </c>
      <c r="B43" t="s">
        <v>46</v>
      </c>
      <c r="C43" s="8">
        <v>238</v>
      </c>
      <c r="D43" s="8">
        <v>476</v>
      </c>
      <c r="E43" s="4">
        <f t="shared" si="2"/>
        <v>0.5</v>
      </c>
      <c r="F43">
        <v>0</v>
      </c>
      <c r="G43">
        <v>3.9</v>
      </c>
      <c r="H43" s="2">
        <f t="shared" si="3"/>
        <v>238</v>
      </c>
      <c r="I43" t="str" cm="1">
        <f t="array" ref="I43">_xlfn.IFS(G43&gt;=4.5,"Excellent",G43&gt;=3,"Average",G43&lt;3,"poor")</f>
        <v>Average</v>
      </c>
      <c r="J43" t="str" cm="1">
        <f t="array" ref="J43">_xlfn.IFS(E43&gt;40%,"High Discount",E43&gt;=20%,"Median Discount",E43&lt;20%,"Low Discount")</f>
        <v>High Discount</v>
      </c>
    </row>
    <row r="44" spans="1:10" x14ac:dyDescent="0.35">
      <c r="A44">
        <v>1043</v>
      </c>
      <c r="B44" t="s">
        <v>47</v>
      </c>
      <c r="C44" s="8">
        <v>610</v>
      </c>
      <c r="D44" s="8">
        <v>1060</v>
      </c>
      <c r="E44" s="4">
        <f t="shared" si="2"/>
        <v>0.42452830188679247</v>
      </c>
      <c r="F44">
        <v>0</v>
      </c>
      <c r="G44">
        <v>3.9</v>
      </c>
      <c r="H44" s="2">
        <f t="shared" si="3"/>
        <v>450</v>
      </c>
      <c r="I44" t="str" cm="1">
        <f t="array" ref="I44">_xlfn.IFS(G44&gt;=4.5,"Excellent",G44&gt;=3,"Average",G44&lt;3,"poor")</f>
        <v>Average</v>
      </c>
      <c r="J44" t="str" cm="1">
        <f t="array" ref="J44">_xlfn.IFS(E44&gt;40%,"High Discount",E44&gt;=20%,"Median Discount",E44&lt;20%,"Low Discount")</f>
        <v>High Discount</v>
      </c>
    </row>
    <row r="45" spans="1:10" x14ac:dyDescent="0.35">
      <c r="A45">
        <v>1044</v>
      </c>
      <c r="B45" t="s">
        <v>48</v>
      </c>
      <c r="C45" s="8">
        <v>2132</v>
      </c>
      <c r="D45" s="8">
        <v>2169</v>
      </c>
      <c r="E45" s="4">
        <f t="shared" si="2"/>
        <v>1.705855232826187E-2</v>
      </c>
      <c r="F45">
        <v>0</v>
      </c>
      <c r="G45">
        <v>3.9</v>
      </c>
      <c r="H45" s="2">
        <f t="shared" si="3"/>
        <v>37</v>
      </c>
      <c r="I45" t="str" cm="1">
        <f t="array" ref="I45">_xlfn.IFS(G45&gt;=4.5,"Excellent",G45&gt;=3,"Average",G45&lt;3,"poor")</f>
        <v>Average</v>
      </c>
      <c r="J45" t="str" cm="1">
        <f t="array" ref="J45">_xlfn.IFS(E45&gt;40%,"High Discount",E45&gt;=20%,"Median Discount",E45&lt;20%,"Low Discount")</f>
        <v>Low Discount</v>
      </c>
    </row>
    <row r="46" spans="1:10" x14ac:dyDescent="0.35">
      <c r="A46">
        <v>1045</v>
      </c>
      <c r="B46" t="s">
        <v>49</v>
      </c>
      <c r="C46" s="8">
        <v>999</v>
      </c>
      <c r="D46" s="8">
        <v>2000</v>
      </c>
      <c r="E46" s="4">
        <f t="shared" si="2"/>
        <v>0.50049999999999994</v>
      </c>
      <c r="F46">
        <v>0</v>
      </c>
      <c r="G46">
        <v>3.9</v>
      </c>
      <c r="H46" s="2">
        <f t="shared" si="3"/>
        <v>1001</v>
      </c>
      <c r="I46" t="str" cm="1">
        <f t="array" ref="I46">_xlfn.IFS(G46&gt;=4.5,"Excellent",G46&gt;=3,"Average",G46&lt;3,"poor")</f>
        <v>Average</v>
      </c>
      <c r="J46" t="str" cm="1">
        <f t="array" ref="J46">_xlfn.IFS(E46&gt;40%,"High Discount",E46&gt;=20%,"Median Discount",E46&lt;20%,"Low Discount")</f>
        <v>High Discount</v>
      </c>
    </row>
    <row r="47" spans="1:10" x14ac:dyDescent="0.35">
      <c r="A47">
        <v>1046</v>
      </c>
      <c r="B47" t="s">
        <v>50</v>
      </c>
      <c r="C47" s="8">
        <v>1190</v>
      </c>
      <c r="D47" s="8">
        <v>1785</v>
      </c>
      <c r="E47" s="4">
        <f t="shared" si="2"/>
        <v>0.33333333333333331</v>
      </c>
      <c r="F47">
        <v>0</v>
      </c>
      <c r="G47">
        <v>3.9</v>
      </c>
      <c r="H47" s="2">
        <f t="shared" si="3"/>
        <v>595</v>
      </c>
      <c r="I47" t="str" cm="1">
        <f t="array" ref="I47">_xlfn.IFS(G47&gt;=4.5,"Excellent",G47&gt;=3,"Average",G47&lt;3,"poor")</f>
        <v>Average</v>
      </c>
      <c r="J47" t="str" cm="1">
        <f t="array" ref="J47">_xlfn.IFS(E47&gt;40%,"High Discount",E47&gt;=20%,"Median Discount",E47&lt;20%,"Low Discount")</f>
        <v>Median Discount</v>
      </c>
    </row>
    <row r="48" spans="1:10" x14ac:dyDescent="0.35">
      <c r="A48">
        <v>1047</v>
      </c>
      <c r="B48" t="s">
        <v>51</v>
      </c>
      <c r="C48" s="8">
        <v>671</v>
      </c>
      <c r="D48" s="8">
        <v>1316</v>
      </c>
      <c r="E48" s="4">
        <f t="shared" si="2"/>
        <v>0.49012158054711247</v>
      </c>
      <c r="F48">
        <v>0</v>
      </c>
      <c r="G48">
        <v>3.9</v>
      </c>
      <c r="H48" s="2">
        <f t="shared" si="3"/>
        <v>645</v>
      </c>
      <c r="I48" t="str" cm="1">
        <f t="array" ref="I48">_xlfn.IFS(G48&gt;=4.5,"Excellent",G48&gt;=3,"Average",G48&lt;3,"poor")</f>
        <v>Average</v>
      </c>
      <c r="J48" t="str" cm="1">
        <f t="array" ref="J48">_xlfn.IFS(E48&gt;40%,"High Discount",E48&gt;=20%,"Median Discount",E48&lt;20%,"Low Discount")</f>
        <v>High Discount</v>
      </c>
    </row>
    <row r="49" spans="1:10" x14ac:dyDescent="0.35">
      <c r="A49">
        <v>1048</v>
      </c>
      <c r="B49" t="s">
        <v>52</v>
      </c>
      <c r="C49" s="8">
        <v>1200</v>
      </c>
      <c r="D49" s="8">
        <v>1950</v>
      </c>
      <c r="E49" s="4">
        <f t="shared" si="2"/>
        <v>0.38461538461538464</v>
      </c>
      <c r="F49">
        <v>0</v>
      </c>
      <c r="G49">
        <v>3.9</v>
      </c>
      <c r="H49" s="2">
        <f t="shared" si="3"/>
        <v>750</v>
      </c>
      <c r="I49" t="str" cm="1">
        <f t="array" ref="I49">_xlfn.IFS(G49&gt;=4.5,"Excellent",G49&gt;=3,"Average",G49&lt;3,"poor")</f>
        <v>Average</v>
      </c>
      <c r="J49" t="str" cm="1">
        <f t="array" ref="J49">_xlfn.IFS(E49&gt;40%,"High Discount",E49&gt;=20%,"Median Discount",E49&lt;20%,"Low Discount")</f>
        <v>Median Discount</v>
      </c>
    </row>
    <row r="50" spans="1:10" x14ac:dyDescent="0.35">
      <c r="A50">
        <v>1049</v>
      </c>
      <c r="B50" t="s">
        <v>53</v>
      </c>
      <c r="C50" s="8">
        <v>199</v>
      </c>
      <c r="D50" s="8">
        <v>504</v>
      </c>
      <c r="E50" s="4">
        <f t="shared" si="2"/>
        <v>0.60515873015873012</v>
      </c>
      <c r="F50">
        <v>0</v>
      </c>
      <c r="G50">
        <v>3.9</v>
      </c>
      <c r="H50" s="2">
        <f t="shared" si="3"/>
        <v>305</v>
      </c>
      <c r="I50" t="str" cm="1">
        <f t="array" ref="I50">_xlfn.IFS(G50&gt;=4.5,"Excellent",G50&gt;=3,"Average",G50&lt;3,"poor")</f>
        <v>Average</v>
      </c>
      <c r="J50" t="str" cm="1">
        <f t="array" ref="J50">_xlfn.IFS(E50&gt;40%,"High Discount",E50&gt;=20%,"Median Discount",E50&lt;20%,"Low Discount")</f>
        <v>High Discount</v>
      </c>
    </row>
    <row r="51" spans="1:10" x14ac:dyDescent="0.35">
      <c r="A51">
        <v>1050</v>
      </c>
      <c r="B51" t="s">
        <v>54</v>
      </c>
      <c r="C51" s="8">
        <v>299</v>
      </c>
      <c r="D51" s="8">
        <v>600</v>
      </c>
      <c r="E51" s="4">
        <f t="shared" si="2"/>
        <v>0.50166666666666671</v>
      </c>
      <c r="F51">
        <v>0</v>
      </c>
      <c r="G51">
        <v>3.9</v>
      </c>
      <c r="H51" s="2">
        <f t="shared" si="3"/>
        <v>301</v>
      </c>
      <c r="I51" t="str" cm="1">
        <f t="array" ref="I51">_xlfn.IFS(G51&gt;=4.5,"Excellent",G51&gt;=3,"Average",G51&lt;3,"poor")</f>
        <v>Average</v>
      </c>
      <c r="J51" t="str" cm="1">
        <f t="array" ref="J51">_xlfn.IFS(E51&gt;40%,"High Discount",E51&gt;=20%,"Median Discount",E51&lt;20%,"Low Discount")</f>
        <v>High Discount</v>
      </c>
    </row>
    <row r="52" spans="1:10" x14ac:dyDescent="0.35">
      <c r="A52">
        <v>1051</v>
      </c>
      <c r="B52" t="s">
        <v>55</v>
      </c>
      <c r="C52" s="8">
        <v>1660</v>
      </c>
      <c r="D52" s="8">
        <v>1699</v>
      </c>
      <c r="E52" s="4">
        <f t="shared" si="2"/>
        <v>2.2954679223072396E-2</v>
      </c>
      <c r="F52">
        <v>0</v>
      </c>
      <c r="G52">
        <v>3.9</v>
      </c>
      <c r="H52" s="2">
        <f t="shared" si="3"/>
        <v>39</v>
      </c>
      <c r="I52" t="str" cm="1">
        <f t="array" ref="I52">_xlfn.IFS(G52&gt;=4.5,"Excellent",G52&gt;=3,"Average",G52&lt;3,"poor")</f>
        <v>Average</v>
      </c>
      <c r="J52" t="str" cm="1">
        <f t="array" ref="J52">_xlfn.IFS(E52&gt;40%,"High Discount",E52&gt;=20%,"Median Discount",E52&lt;20%,"Low Discount")</f>
        <v>Low Discount</v>
      </c>
    </row>
    <row r="53" spans="1:10" x14ac:dyDescent="0.35">
      <c r="A53">
        <v>1052</v>
      </c>
      <c r="B53" t="s">
        <v>56</v>
      </c>
      <c r="C53" s="8">
        <v>299</v>
      </c>
      <c r="D53" s="8">
        <v>384</v>
      </c>
      <c r="E53" s="4">
        <f t="shared" si="2"/>
        <v>0.22135416666666666</v>
      </c>
      <c r="F53">
        <v>0</v>
      </c>
      <c r="G53">
        <v>3.9</v>
      </c>
      <c r="H53" s="2">
        <f t="shared" si="3"/>
        <v>85</v>
      </c>
      <c r="I53" t="str" cm="1">
        <f t="array" ref="I53">_xlfn.IFS(G53&gt;=4.5,"Excellent",G53&gt;=3,"Average",G53&lt;3,"poor")</f>
        <v>Average</v>
      </c>
      <c r="J53" t="str" cm="1">
        <f t="array" ref="J53">_xlfn.IFS(E53&gt;40%,"High Discount",E53&gt;=20%,"Median Discount",E53&lt;20%,"Low Discount")</f>
        <v>Median Discount</v>
      </c>
    </row>
    <row r="54" spans="1:10" x14ac:dyDescent="0.35">
      <c r="A54">
        <v>1053</v>
      </c>
      <c r="B54" t="s">
        <v>57</v>
      </c>
      <c r="C54" s="8">
        <v>1459</v>
      </c>
      <c r="D54" s="8">
        <v>1499</v>
      </c>
      <c r="E54" s="4">
        <f t="shared" si="2"/>
        <v>2.6684456304202801E-2</v>
      </c>
      <c r="F54">
        <v>0</v>
      </c>
      <c r="G54">
        <v>3.9</v>
      </c>
      <c r="H54" s="2">
        <f t="shared" si="3"/>
        <v>40</v>
      </c>
      <c r="I54" t="str" cm="1">
        <f t="array" ref="I54">_xlfn.IFS(G54&gt;=4.5,"Excellent",G54&gt;=3,"Average",G54&lt;3,"poor")</f>
        <v>Average</v>
      </c>
      <c r="J54" t="str" cm="1">
        <f t="array" ref="J54">_xlfn.IFS(E54&gt;40%,"High Discount",E54&gt;=20%,"Median Discount",E54&lt;20%,"Low Discount")</f>
        <v>Low Discount</v>
      </c>
    </row>
    <row r="55" spans="1:10" x14ac:dyDescent="0.35">
      <c r="A55">
        <v>1054</v>
      </c>
      <c r="B55" t="s">
        <v>58</v>
      </c>
      <c r="C55" s="8">
        <v>799</v>
      </c>
      <c r="D55" s="8">
        <v>1343</v>
      </c>
      <c r="E55" s="4">
        <f t="shared" si="2"/>
        <v>0.4050632911392405</v>
      </c>
      <c r="F55">
        <v>0</v>
      </c>
      <c r="G55">
        <v>3.9</v>
      </c>
      <c r="H55" s="2">
        <f t="shared" si="3"/>
        <v>544</v>
      </c>
      <c r="I55" t="str" cm="1">
        <f t="array" ref="I55">_xlfn.IFS(G55&gt;=4.5,"Excellent",G55&gt;=3,"Average",G55&lt;3,"poor")</f>
        <v>Average</v>
      </c>
      <c r="J55" t="str" cm="1">
        <f t="array" ref="J55">_xlfn.IFS(E55&gt;40%,"High Discount",E55&gt;=20%,"Median Discount",E55&lt;20%,"Low Discount")</f>
        <v>High Discount</v>
      </c>
    </row>
    <row r="56" spans="1:10" x14ac:dyDescent="0.35">
      <c r="A56">
        <v>1055</v>
      </c>
      <c r="B56" t="s">
        <v>59</v>
      </c>
      <c r="C56" s="8">
        <v>499</v>
      </c>
      <c r="D56" s="8">
        <v>900</v>
      </c>
      <c r="E56" s="4">
        <f t="shared" si="2"/>
        <v>0.44555555555555554</v>
      </c>
      <c r="F56">
        <v>0</v>
      </c>
      <c r="G56">
        <v>3.9</v>
      </c>
      <c r="H56" s="2">
        <f t="shared" si="3"/>
        <v>401</v>
      </c>
      <c r="I56" t="str" cm="1">
        <f t="array" ref="I56">_xlfn.IFS(G56&gt;=4.5,"Excellent",G56&gt;=3,"Average",G56&lt;3,"poor")</f>
        <v>Average</v>
      </c>
      <c r="J56" t="str" cm="1">
        <f t="array" ref="J56">_xlfn.IFS(E56&gt;40%,"High Discount",E56&gt;=20%,"Median Discount",E56&lt;20%,"Low Discount")</f>
        <v>High Discount</v>
      </c>
    </row>
    <row r="57" spans="1:10" x14ac:dyDescent="0.35">
      <c r="A57">
        <v>1056</v>
      </c>
      <c r="B57" t="s">
        <v>60</v>
      </c>
      <c r="C57" s="8">
        <v>699</v>
      </c>
      <c r="D57" s="8">
        <v>1343</v>
      </c>
      <c r="E57" s="4">
        <f t="shared" si="2"/>
        <v>0.47952345495160087</v>
      </c>
      <c r="F57">
        <v>0</v>
      </c>
      <c r="G57">
        <v>3.9</v>
      </c>
      <c r="H57" s="2">
        <f t="shared" si="3"/>
        <v>644</v>
      </c>
      <c r="I57" t="str" cm="1">
        <f t="array" ref="I57">_xlfn.IFS(G57&gt;=4.5,"Excellent",G57&gt;=3,"Average",G57&lt;3,"poor")</f>
        <v>Average</v>
      </c>
      <c r="J57" t="str" cm="1">
        <f t="array" ref="J57">_xlfn.IFS(E57&gt;40%,"High Discount",E57&gt;=20%,"Median Discount",E57&lt;20%,"Low Discount")</f>
        <v>High Discount</v>
      </c>
    </row>
    <row r="58" spans="1:10" x14ac:dyDescent="0.35">
      <c r="A58">
        <v>1057</v>
      </c>
      <c r="B58" t="s">
        <v>61</v>
      </c>
      <c r="C58" s="8">
        <v>799</v>
      </c>
      <c r="D58" s="8">
        <v>1567</v>
      </c>
      <c r="E58" s="4">
        <f t="shared" si="2"/>
        <v>0.49010848755583919</v>
      </c>
      <c r="F58">
        <v>0</v>
      </c>
      <c r="G58">
        <v>3.9</v>
      </c>
      <c r="H58" s="2">
        <f t="shared" si="3"/>
        <v>768</v>
      </c>
      <c r="I58" t="str" cm="1">
        <f t="array" ref="I58">_xlfn.IFS(G58&gt;=4.5,"Excellent",G58&gt;=3,"Average",G58&lt;3,"poor")</f>
        <v>Average</v>
      </c>
      <c r="J58" t="str" cm="1">
        <f t="array" ref="J58">_xlfn.IFS(E58&gt;40%,"High Discount",E58&gt;=20%,"Median Discount",E58&lt;20%,"Low Discount")</f>
        <v>High Discount</v>
      </c>
    </row>
    <row r="59" spans="1:10" x14ac:dyDescent="0.35">
      <c r="A59">
        <v>1058</v>
      </c>
      <c r="B59" t="s">
        <v>62</v>
      </c>
      <c r="C59" s="8">
        <v>2799</v>
      </c>
      <c r="D59" s="8">
        <v>3810</v>
      </c>
      <c r="E59" s="4">
        <f t="shared" si="2"/>
        <v>0.26535433070866143</v>
      </c>
      <c r="F59">
        <v>0</v>
      </c>
      <c r="G59">
        <v>3.9</v>
      </c>
      <c r="H59" s="2">
        <f t="shared" si="3"/>
        <v>1011</v>
      </c>
      <c r="I59" t="str" cm="1">
        <f t="array" ref="I59">_xlfn.IFS(G59&gt;=4.5,"Excellent",G59&gt;=3,"Average",G59&lt;3,"poor")</f>
        <v>Average</v>
      </c>
      <c r="J59" t="str" cm="1">
        <f t="array" ref="J59">_xlfn.IFS(E59&gt;40%,"High Discount",E59&gt;=20%,"Median Discount",E59&lt;20%,"Low Discount")</f>
        <v>Median Discount</v>
      </c>
    </row>
    <row r="60" spans="1:10" x14ac:dyDescent="0.35">
      <c r="A60">
        <v>1060</v>
      </c>
      <c r="B60" t="s">
        <v>63</v>
      </c>
      <c r="C60" s="8">
        <v>2170</v>
      </c>
      <c r="D60" s="8">
        <v>2500</v>
      </c>
      <c r="E60" s="4">
        <f t="shared" si="2"/>
        <v>0.13200000000000001</v>
      </c>
      <c r="F60">
        <v>6</v>
      </c>
      <c r="G60">
        <v>2.5</v>
      </c>
      <c r="H60" s="2">
        <f t="shared" si="3"/>
        <v>330</v>
      </c>
      <c r="I60" t="str" cm="1">
        <f t="array" ref="I60">_xlfn.IFS(G60&gt;=4.5,"Excellent",G60&gt;=3,"Average",G60&lt;3,"poor")</f>
        <v>poor</v>
      </c>
      <c r="J60" t="str" cm="1">
        <f t="array" ref="J60">_xlfn.IFS(E60&gt;40%,"High Discount",E60&gt;=20%,"Median Discount",E60&lt;20%,"Low Discount")</f>
        <v>Low Discount</v>
      </c>
    </row>
    <row r="61" spans="1:10" x14ac:dyDescent="0.35">
      <c r="A61">
        <v>1061</v>
      </c>
      <c r="B61" t="s">
        <v>64</v>
      </c>
      <c r="C61" s="8">
        <v>458</v>
      </c>
      <c r="D61" s="8">
        <v>986</v>
      </c>
      <c r="E61" s="4">
        <f t="shared" si="2"/>
        <v>0.53549695740365111</v>
      </c>
      <c r="F61">
        <v>10</v>
      </c>
      <c r="G61">
        <v>3</v>
      </c>
      <c r="H61" s="2">
        <f t="shared" si="3"/>
        <v>528</v>
      </c>
      <c r="I61" t="str" cm="1">
        <f t="array" ref="I61">_xlfn.IFS(G61&gt;=4.5,"Excellent",G61&gt;=3,"Average",G61&lt;3,"poor")</f>
        <v>Average</v>
      </c>
      <c r="J61" t="str" cm="1">
        <f t="array" ref="J61">_xlfn.IFS(E61&gt;40%,"High Discount",E61&gt;=20%,"Median Discount",E61&lt;20%,"Low Discount")</f>
        <v>High Discount</v>
      </c>
    </row>
    <row r="62" spans="1:10" x14ac:dyDescent="0.35">
      <c r="A62">
        <v>1062</v>
      </c>
      <c r="B62" t="s">
        <v>65</v>
      </c>
      <c r="C62" s="8">
        <v>2115</v>
      </c>
      <c r="D62" s="8">
        <v>4700</v>
      </c>
      <c r="E62" s="4">
        <f t="shared" si="2"/>
        <v>0.55000000000000004</v>
      </c>
      <c r="F62">
        <v>13</v>
      </c>
      <c r="G62">
        <v>2.1</v>
      </c>
      <c r="H62" s="2">
        <f t="shared" si="3"/>
        <v>2585</v>
      </c>
      <c r="I62" t="str" cm="1">
        <f t="array" ref="I62">_xlfn.IFS(G62&gt;=4.5,"Excellent",G62&gt;=3,"Average",G62&lt;3,"poor")</f>
        <v>poor</v>
      </c>
      <c r="J62" t="str" cm="1">
        <f t="array" ref="J62">_xlfn.IFS(E62&gt;40%,"High Discount",E62&gt;=20%,"Median Discount",E62&lt;20%,"Low Discount")</f>
        <v>High Discount</v>
      </c>
    </row>
    <row r="63" spans="1:10" x14ac:dyDescent="0.35">
      <c r="A63">
        <v>1063</v>
      </c>
      <c r="B63" t="s">
        <v>66</v>
      </c>
      <c r="C63" s="8">
        <v>445</v>
      </c>
      <c r="D63" s="8">
        <v>873</v>
      </c>
      <c r="E63" s="4">
        <f t="shared" si="2"/>
        <v>0.49026345933562426</v>
      </c>
      <c r="F63">
        <v>69</v>
      </c>
      <c r="G63">
        <v>2.8</v>
      </c>
      <c r="H63" s="2">
        <f t="shared" si="3"/>
        <v>428</v>
      </c>
      <c r="I63" t="str" cm="1">
        <f t="array" ref="I63">_xlfn.IFS(G63&gt;=4.5,"Excellent",G63&gt;=3,"Average",G63&lt;3,"poor")</f>
        <v>poor</v>
      </c>
      <c r="J63" t="str" cm="1">
        <f t="array" ref="J63">_xlfn.IFS(E63&gt;40%,"High Discount",E63&gt;=20%,"Median Discount",E63&lt;20%,"Low Discount")</f>
        <v>High Discount</v>
      </c>
    </row>
    <row r="64" spans="1:10" x14ac:dyDescent="0.35">
      <c r="A64">
        <v>1064</v>
      </c>
      <c r="B64" t="s">
        <v>67</v>
      </c>
      <c r="C64" s="8">
        <v>325</v>
      </c>
      <c r="D64" s="8">
        <v>680</v>
      </c>
      <c r="E64" s="4">
        <f t="shared" si="2"/>
        <v>0.5220588235294118</v>
      </c>
      <c r="F64">
        <v>15</v>
      </c>
      <c r="G64">
        <v>2.7</v>
      </c>
      <c r="H64" s="2">
        <f t="shared" si="3"/>
        <v>355</v>
      </c>
      <c r="I64" t="str" cm="1">
        <f t="array" ref="I64">_xlfn.IFS(G64&gt;=4.5,"Excellent",G64&gt;=3,"Average",G64&lt;3,"poor")</f>
        <v>poor</v>
      </c>
      <c r="J64" t="str" cm="1">
        <f t="array" ref="J64">_xlfn.IFS(E64&gt;40%,"High Discount",E64&gt;=20%,"Median Discount",E64&lt;20%,"Low Discount")</f>
        <v>High Discount</v>
      </c>
    </row>
    <row r="65" spans="1:10" x14ac:dyDescent="0.35">
      <c r="A65">
        <v>1065</v>
      </c>
      <c r="B65" t="s">
        <v>68</v>
      </c>
      <c r="C65" s="8">
        <v>1220</v>
      </c>
      <c r="D65" s="8">
        <v>1555</v>
      </c>
      <c r="E65" s="4">
        <f t="shared" si="2"/>
        <v>0.21543408360128619</v>
      </c>
      <c r="F65">
        <v>16</v>
      </c>
      <c r="G65">
        <v>2.9</v>
      </c>
      <c r="H65" s="2">
        <f t="shared" si="3"/>
        <v>335</v>
      </c>
      <c r="I65" t="str" cm="1">
        <f t="array" ref="I65">_xlfn.IFS(G65&gt;=4.5,"Excellent",G65&gt;=3,"Average",G65&lt;3,"poor")</f>
        <v>poor</v>
      </c>
      <c r="J65" t="str" cm="1">
        <f t="array" ref="J65">_xlfn.IFS(E65&gt;40%,"High Discount",E65&gt;=20%,"Median Discount",E65&lt;20%,"Low Discount")</f>
        <v>Median Discount</v>
      </c>
    </row>
    <row r="66" spans="1:10" x14ac:dyDescent="0.35">
      <c r="A66">
        <v>1066</v>
      </c>
      <c r="B66" t="s">
        <v>69</v>
      </c>
      <c r="C66" s="8">
        <v>990</v>
      </c>
      <c r="D66" s="8">
        <v>1814</v>
      </c>
      <c r="E66" s="4">
        <f t="shared" ref="E66:E97" si="4">(D66-C66)/D66</f>
        <v>0.45424476295479604</v>
      </c>
      <c r="F66">
        <v>6</v>
      </c>
      <c r="G66">
        <v>2.2000000000000002</v>
      </c>
      <c r="H66" s="2">
        <f t="shared" ref="H66:H97" si="5">D66-C66</f>
        <v>824</v>
      </c>
      <c r="I66" t="str" cm="1">
        <f t="array" ref="I66">_xlfn.IFS(G66&gt;=4.5,"Excellent",G66&gt;=3,"Average",G66&lt;3,"poor")</f>
        <v>poor</v>
      </c>
      <c r="J66" t="str" cm="1">
        <f t="array" ref="J66">_xlfn.IFS(E66&gt;40%,"High Discount",E66&gt;=20%,"Median Discount",E66&lt;20%,"Low Discount")</f>
        <v>High Discount</v>
      </c>
    </row>
    <row r="67" spans="1:10" x14ac:dyDescent="0.35">
      <c r="A67">
        <v>1067</v>
      </c>
      <c r="B67" t="s">
        <v>70</v>
      </c>
      <c r="C67" s="8">
        <v>1000</v>
      </c>
      <c r="D67" s="8">
        <v>2000</v>
      </c>
      <c r="E67" s="4">
        <f t="shared" si="4"/>
        <v>0.5</v>
      </c>
      <c r="F67">
        <v>7</v>
      </c>
      <c r="G67">
        <v>2.2999999999999998</v>
      </c>
      <c r="H67" s="2">
        <f t="shared" si="5"/>
        <v>1000</v>
      </c>
      <c r="I67" t="str" cm="1">
        <f t="array" ref="I67">_xlfn.IFS(G67&gt;=4.5,"Excellent",G67&gt;=3,"Average",G67&lt;3,"poor")</f>
        <v>poor</v>
      </c>
      <c r="J67" t="str" cm="1">
        <f t="array" ref="J67">_xlfn.IFS(E67&gt;40%,"High Discount",E67&gt;=20%,"Median Discount",E67&lt;20%,"Low Discount")</f>
        <v>High Discount</v>
      </c>
    </row>
    <row r="68" spans="1:10" x14ac:dyDescent="0.35">
      <c r="A68">
        <v>1068</v>
      </c>
      <c r="B68" t="s">
        <v>71</v>
      </c>
      <c r="C68" s="8">
        <v>3750</v>
      </c>
      <c r="D68" s="8">
        <v>6143</v>
      </c>
      <c r="E68" s="4">
        <f t="shared" si="4"/>
        <v>0.38954908025394758</v>
      </c>
      <c r="F68">
        <v>5</v>
      </c>
      <c r="G68">
        <v>3</v>
      </c>
      <c r="H68" s="2">
        <f t="shared" si="5"/>
        <v>2393</v>
      </c>
      <c r="I68" t="str" cm="1">
        <f t="array" ref="I68">_xlfn.IFS(G68&gt;=4.5,"Excellent",G68&gt;=3,"Average",G68&lt;3,"poor")</f>
        <v>Average</v>
      </c>
      <c r="J68" t="str" cm="1">
        <f t="array" ref="J68">_xlfn.IFS(E68&gt;40%,"High Discount",E68&gt;=20%,"Median Discount",E68&lt;20%,"Low Discount")</f>
        <v>Median Discount</v>
      </c>
    </row>
    <row r="69" spans="1:10" x14ac:dyDescent="0.35">
      <c r="A69">
        <v>1069</v>
      </c>
      <c r="B69" t="s">
        <v>72</v>
      </c>
      <c r="C69" s="8">
        <v>382</v>
      </c>
      <c r="D69" s="8">
        <v>700</v>
      </c>
      <c r="E69" s="4">
        <f t="shared" si="4"/>
        <v>0.45428571428571429</v>
      </c>
      <c r="F69">
        <v>17</v>
      </c>
      <c r="G69">
        <v>2.6</v>
      </c>
      <c r="H69" s="2">
        <f t="shared" si="5"/>
        <v>318</v>
      </c>
      <c r="I69" t="str" cm="1">
        <f t="array" ref="I69">_xlfn.IFS(G69&gt;=4.5,"Excellent",G69&gt;=3,"Average",G69&lt;3,"poor")</f>
        <v>poor</v>
      </c>
      <c r="J69" t="str" cm="1">
        <f t="array" ref="J69">_xlfn.IFS(E69&gt;40%,"High Discount",E69&gt;=20%,"Median Discount",E69&lt;20%,"Low Discount")</f>
        <v>High Discount</v>
      </c>
    </row>
    <row r="70" spans="1:10" x14ac:dyDescent="0.35">
      <c r="A70">
        <v>1070</v>
      </c>
      <c r="B70" t="s">
        <v>73</v>
      </c>
      <c r="C70" s="8">
        <v>2300</v>
      </c>
      <c r="D70" s="8">
        <v>3240</v>
      </c>
      <c r="E70" s="4">
        <f t="shared" si="4"/>
        <v>0.29012345679012347</v>
      </c>
      <c r="F70">
        <v>5</v>
      </c>
      <c r="G70">
        <v>3</v>
      </c>
      <c r="H70" s="2">
        <f t="shared" si="5"/>
        <v>940</v>
      </c>
      <c r="I70" t="str" cm="1">
        <f t="array" ref="I70">_xlfn.IFS(G70&gt;=4.5,"Excellent",G70&gt;=3,"Average",G70&lt;3,"poor")</f>
        <v>Average</v>
      </c>
      <c r="J70" t="str" cm="1">
        <f t="array" ref="J70">_xlfn.IFS(E70&gt;40%,"High Discount",E70&gt;=20%,"Median Discount",E70&lt;20%,"Low Discount")</f>
        <v>Median Discount</v>
      </c>
    </row>
    <row r="71" spans="1:10" x14ac:dyDescent="0.35">
      <c r="A71">
        <v>1071</v>
      </c>
      <c r="B71" t="s">
        <v>74</v>
      </c>
      <c r="C71" s="8">
        <v>345</v>
      </c>
      <c r="D71" s="8">
        <v>602</v>
      </c>
      <c r="E71" s="4">
        <f t="shared" si="4"/>
        <v>0.42691029900332228</v>
      </c>
      <c r="F71">
        <v>6</v>
      </c>
      <c r="G71">
        <v>2.2999999999999998</v>
      </c>
      <c r="H71" s="2">
        <f t="shared" si="5"/>
        <v>257</v>
      </c>
      <c r="I71" t="str" cm="1">
        <f t="array" ref="I71">_xlfn.IFS(G71&gt;=4.5,"Excellent",G71&gt;=3,"Average",G71&lt;3,"poor")</f>
        <v>poor</v>
      </c>
      <c r="J71" t="str" cm="1">
        <f t="array" ref="J71">_xlfn.IFS(E71&gt;40%,"High Discount",E71&gt;=20%,"Median Discount",E71&lt;20%,"Low Discount")</f>
        <v>High Discount</v>
      </c>
    </row>
    <row r="72" spans="1:10" x14ac:dyDescent="0.35">
      <c r="A72">
        <v>1072</v>
      </c>
      <c r="B72" t="s">
        <v>75</v>
      </c>
      <c r="C72" s="8">
        <v>509</v>
      </c>
      <c r="D72" s="8">
        <v>899</v>
      </c>
      <c r="E72" s="4">
        <f t="shared" si="4"/>
        <v>0.43381535038932145</v>
      </c>
      <c r="F72">
        <v>5</v>
      </c>
      <c r="G72">
        <v>3</v>
      </c>
      <c r="H72" s="2">
        <f t="shared" si="5"/>
        <v>390</v>
      </c>
      <c r="I72" t="str" cm="1">
        <f t="array" ref="I72">_xlfn.IFS(G72&gt;=4.5,"Excellent",G72&gt;=3,"Average",G72&lt;3,"poor")</f>
        <v>Average</v>
      </c>
      <c r="J72" t="str" cm="1">
        <f t="array" ref="J72">_xlfn.IFS(E72&gt;40%,"High Discount",E72&gt;=20%,"Median Discount",E72&lt;20%,"Low Discount")</f>
        <v>High Discount</v>
      </c>
    </row>
    <row r="73" spans="1:10" x14ac:dyDescent="0.35">
      <c r="A73">
        <v>1073</v>
      </c>
      <c r="B73" t="s">
        <v>76</v>
      </c>
      <c r="C73" s="8">
        <v>968</v>
      </c>
      <c r="D73" s="8">
        <v>1814</v>
      </c>
      <c r="E73" s="4">
        <f t="shared" si="4"/>
        <v>0.46637265711135611</v>
      </c>
      <c r="F73">
        <v>6</v>
      </c>
      <c r="G73">
        <v>2.2000000000000002</v>
      </c>
      <c r="H73" s="2">
        <f t="shared" si="5"/>
        <v>846</v>
      </c>
      <c r="I73" t="str" cm="1">
        <f t="array" ref="I73">_xlfn.IFS(G73&gt;=4.5,"Excellent",G73&gt;=3,"Average",G73&lt;3,"poor")</f>
        <v>poor</v>
      </c>
      <c r="J73" t="str" cm="1">
        <f t="array" ref="J73">_xlfn.IFS(E73&gt;40%,"High Discount",E73&gt;=20%,"Median Discount",E73&lt;20%,"Low Discount")</f>
        <v>High Discount</v>
      </c>
    </row>
    <row r="74" spans="1:10" x14ac:dyDescent="0.35">
      <c r="A74">
        <v>1074</v>
      </c>
      <c r="B74" t="s">
        <v>77</v>
      </c>
      <c r="C74" s="8">
        <v>1570</v>
      </c>
      <c r="D74" s="8">
        <v>2988</v>
      </c>
      <c r="E74" s="4">
        <f t="shared" si="4"/>
        <v>0.4745649263721553</v>
      </c>
      <c r="F74">
        <v>7</v>
      </c>
      <c r="G74">
        <v>2.1</v>
      </c>
      <c r="H74" s="2">
        <f t="shared" si="5"/>
        <v>1418</v>
      </c>
      <c r="I74" t="str" cm="1">
        <f t="array" ref="I74">_xlfn.IFS(G74&gt;=4.5,"Excellent",G74&gt;=3,"Average",G74&lt;3,"poor")</f>
        <v>poor</v>
      </c>
      <c r="J74" t="str" cm="1">
        <f t="array" ref="J74">_xlfn.IFS(E74&gt;40%,"High Discount",E74&gt;=20%,"Median Discount",E74&lt;20%,"Low Discount")</f>
        <v>High Discount</v>
      </c>
    </row>
    <row r="75" spans="1:10" x14ac:dyDescent="0.35">
      <c r="A75">
        <v>1075</v>
      </c>
      <c r="B75" t="s">
        <v>78</v>
      </c>
      <c r="C75" s="8">
        <v>790</v>
      </c>
      <c r="D75" s="8">
        <v>1485</v>
      </c>
      <c r="E75" s="4">
        <f t="shared" si="4"/>
        <v>0.46801346801346799</v>
      </c>
      <c r="F75">
        <v>0</v>
      </c>
      <c r="G75">
        <v>3.9</v>
      </c>
      <c r="H75" s="2">
        <f t="shared" si="5"/>
        <v>695</v>
      </c>
      <c r="I75" t="str" cm="1">
        <f t="array" ref="I75">_xlfn.IFS(G75&gt;=4.5,"Excellent",G75&gt;=3,"Average",G75&lt;3,"poor")</f>
        <v>Average</v>
      </c>
      <c r="J75" t="str" cm="1">
        <f t="array" ref="J75">_xlfn.IFS(E75&gt;40%,"High Discount",E75&gt;=20%,"Median Discount",E75&lt;20%,"Low Discount")</f>
        <v>High Discount</v>
      </c>
    </row>
    <row r="76" spans="1:10" x14ac:dyDescent="0.35">
      <c r="A76">
        <v>1076</v>
      </c>
      <c r="B76" t="s">
        <v>79</v>
      </c>
      <c r="C76" s="8">
        <v>690</v>
      </c>
      <c r="D76" s="8">
        <v>1200</v>
      </c>
      <c r="E76" s="4">
        <f t="shared" si="4"/>
        <v>0.42499999999999999</v>
      </c>
      <c r="F76">
        <v>0</v>
      </c>
      <c r="G76">
        <v>3.9</v>
      </c>
      <c r="H76" s="2">
        <f t="shared" si="5"/>
        <v>510</v>
      </c>
      <c r="I76" t="str" cm="1">
        <f t="array" ref="I76">_xlfn.IFS(G76&gt;=4.5,"Excellent",G76&gt;=3,"Average",G76&lt;3,"poor")</f>
        <v>Average</v>
      </c>
      <c r="J76" t="str" cm="1">
        <f t="array" ref="J76">_xlfn.IFS(E76&gt;40%,"High Discount",E76&gt;=20%,"Median Discount",E76&lt;20%,"Low Discount")</f>
        <v>High Discount</v>
      </c>
    </row>
    <row r="77" spans="1:10" x14ac:dyDescent="0.35">
      <c r="A77">
        <v>1077</v>
      </c>
      <c r="B77" t="s">
        <v>80</v>
      </c>
      <c r="C77" s="8">
        <v>1732</v>
      </c>
      <c r="D77" s="8">
        <v>1799</v>
      </c>
      <c r="E77" s="4">
        <f t="shared" si="4"/>
        <v>3.7242912729294052E-2</v>
      </c>
      <c r="F77">
        <v>0</v>
      </c>
      <c r="G77">
        <v>3.9</v>
      </c>
      <c r="H77" s="2">
        <f t="shared" si="5"/>
        <v>67</v>
      </c>
      <c r="I77" t="str" cm="1">
        <f t="array" ref="I77">_xlfn.IFS(G77&gt;=4.5,"Excellent",G77&gt;=3,"Average",G77&lt;3,"poor")</f>
        <v>Average</v>
      </c>
      <c r="J77" t="str" cm="1">
        <f t="array" ref="J77">_xlfn.IFS(E77&gt;40%,"High Discount",E77&gt;=20%,"Median Discount",E77&lt;20%,"Low Discount")</f>
        <v>Low Discount</v>
      </c>
    </row>
    <row r="78" spans="1:10" x14ac:dyDescent="0.35">
      <c r="A78">
        <v>1078</v>
      </c>
      <c r="B78" t="s">
        <v>81</v>
      </c>
      <c r="C78" s="8">
        <v>230</v>
      </c>
      <c r="D78" s="8">
        <v>450</v>
      </c>
      <c r="E78" s="4">
        <f t="shared" si="4"/>
        <v>0.48888888888888887</v>
      </c>
      <c r="F78">
        <v>0</v>
      </c>
      <c r="G78">
        <v>3.9</v>
      </c>
      <c r="H78" s="2">
        <f t="shared" si="5"/>
        <v>220</v>
      </c>
      <c r="I78" t="str" cm="1">
        <f t="array" ref="I78">_xlfn.IFS(G78&gt;=4.5,"Excellent",G78&gt;=3,"Average",G78&lt;3,"poor")</f>
        <v>Average</v>
      </c>
      <c r="J78" t="str" cm="1">
        <f t="array" ref="J78">_xlfn.IFS(E78&gt;40%,"High Discount",E78&gt;=20%,"Median Discount",E78&lt;20%,"Low Discount")</f>
        <v>High Discount</v>
      </c>
    </row>
    <row r="79" spans="1:10" x14ac:dyDescent="0.35">
      <c r="A79">
        <v>1079</v>
      </c>
      <c r="B79" t="s">
        <v>82</v>
      </c>
      <c r="C79" s="8">
        <v>1189</v>
      </c>
      <c r="D79" s="8">
        <v>2199</v>
      </c>
      <c r="E79" s="4">
        <f t="shared" si="4"/>
        <v>0.45929968167348795</v>
      </c>
      <c r="F79">
        <v>1</v>
      </c>
      <c r="G79">
        <v>3</v>
      </c>
      <c r="H79" s="2">
        <f t="shared" si="5"/>
        <v>1010</v>
      </c>
      <c r="I79" t="str" cm="1">
        <f t="array" ref="I79">_xlfn.IFS(G79&gt;=4.5,"Excellent",G79&gt;=3,"Average",G79&lt;3,"poor")</f>
        <v>Average</v>
      </c>
      <c r="J79" t="str" cm="1">
        <f t="array" ref="J79">_xlfn.IFS(E79&gt;40%,"High Discount",E79&gt;=20%,"Median Discount",E79&lt;20%,"Low Discount")</f>
        <v>High Discount</v>
      </c>
    </row>
    <row r="80" spans="1:10" x14ac:dyDescent="0.35">
      <c r="A80">
        <v>1080</v>
      </c>
      <c r="B80" t="s">
        <v>83</v>
      </c>
      <c r="C80" s="8">
        <v>979</v>
      </c>
      <c r="D80" s="8">
        <v>1920</v>
      </c>
      <c r="E80" s="4">
        <f t="shared" si="4"/>
        <v>0.49010416666666667</v>
      </c>
      <c r="F80">
        <v>1</v>
      </c>
      <c r="G80">
        <v>5</v>
      </c>
      <c r="H80" s="2">
        <f t="shared" si="5"/>
        <v>941</v>
      </c>
      <c r="I80" t="str" cm="1">
        <f t="array" ref="I80">_xlfn.IFS(G80&gt;=4.5,"Excellent",G80&gt;=3,"Average",G80&lt;3,"poor")</f>
        <v>Excellent</v>
      </c>
      <c r="J80" t="str" cm="1">
        <f t="array" ref="J80">_xlfn.IFS(E80&gt;40%,"High Discount",E80&gt;=20%,"Median Discount",E80&lt;20%,"Low Discount")</f>
        <v>High Discount</v>
      </c>
    </row>
    <row r="81" spans="1:10" x14ac:dyDescent="0.35">
      <c r="A81">
        <v>1081</v>
      </c>
      <c r="B81" t="s">
        <v>84</v>
      </c>
      <c r="C81" s="8">
        <v>1460</v>
      </c>
      <c r="D81" s="8">
        <v>2290</v>
      </c>
      <c r="E81" s="4">
        <f t="shared" si="4"/>
        <v>0.36244541484716158</v>
      </c>
      <c r="F81">
        <v>0</v>
      </c>
      <c r="G81">
        <v>3.9</v>
      </c>
      <c r="H81" s="2">
        <f t="shared" si="5"/>
        <v>830</v>
      </c>
      <c r="I81" t="str" cm="1">
        <f t="array" ref="I81">_xlfn.IFS(G81&gt;=4.5,"Excellent",G81&gt;=3,"Average",G81&lt;3,"poor")</f>
        <v>Average</v>
      </c>
      <c r="J81" t="str" cm="1">
        <f t="array" ref="J81">_xlfn.IFS(E81&gt;40%,"High Discount",E81&gt;=20%,"Median Discount",E81&lt;20%,"Low Discount")</f>
        <v>Median Discount</v>
      </c>
    </row>
    <row r="82" spans="1:10" x14ac:dyDescent="0.35">
      <c r="A82">
        <v>1082</v>
      </c>
      <c r="B82" t="s">
        <v>85</v>
      </c>
      <c r="C82" s="8">
        <v>1666</v>
      </c>
      <c r="D82" s="8">
        <v>1699</v>
      </c>
      <c r="E82" s="4">
        <f t="shared" si="4"/>
        <v>1.9423190111830489E-2</v>
      </c>
      <c r="F82">
        <v>0</v>
      </c>
      <c r="G82">
        <v>3.9</v>
      </c>
      <c r="H82" s="2">
        <f t="shared" si="5"/>
        <v>33</v>
      </c>
      <c r="I82" t="str" cm="1">
        <f t="array" ref="I82">_xlfn.IFS(G82&gt;=4.5,"Excellent",G82&gt;=3,"Average",G82&lt;3,"poor")</f>
        <v>Average</v>
      </c>
      <c r="J82" t="str" cm="1">
        <f t="array" ref="J82">_xlfn.IFS(E82&gt;40%,"High Discount",E82&gt;=20%,"Median Discount",E82&lt;20%,"Low Discount")</f>
        <v>Low Discount</v>
      </c>
    </row>
    <row r="83" spans="1:10" x14ac:dyDescent="0.35">
      <c r="A83">
        <v>1083</v>
      </c>
      <c r="B83" t="s">
        <v>86</v>
      </c>
      <c r="C83" s="8">
        <v>330</v>
      </c>
      <c r="D83" s="8">
        <v>647</v>
      </c>
      <c r="E83" s="4">
        <f t="shared" si="4"/>
        <v>0.48995363214837712</v>
      </c>
      <c r="F83">
        <v>1</v>
      </c>
      <c r="G83">
        <v>4</v>
      </c>
      <c r="H83" s="2">
        <f t="shared" si="5"/>
        <v>317</v>
      </c>
      <c r="I83" t="str" cm="1">
        <f t="array" ref="I83">_xlfn.IFS(G83&gt;=4.5,"Excellent",G83&gt;=3,"Average",G83&lt;3,"poor")</f>
        <v>Average</v>
      </c>
      <c r="J83" t="str" cm="1">
        <f t="array" ref="J83">_xlfn.IFS(E83&gt;40%,"High Discount",E83&gt;=20%,"Median Discount",E83&lt;20%,"Low Discount")</f>
        <v>High Discount</v>
      </c>
    </row>
    <row r="84" spans="1:10" x14ac:dyDescent="0.35">
      <c r="A84">
        <v>1085</v>
      </c>
      <c r="B84" t="s">
        <v>87</v>
      </c>
      <c r="C84" s="8">
        <v>1466</v>
      </c>
      <c r="D84" s="8">
        <v>1699</v>
      </c>
      <c r="E84" s="4">
        <f t="shared" si="4"/>
        <v>0.13713949381989404</v>
      </c>
      <c r="F84">
        <v>0</v>
      </c>
      <c r="G84">
        <v>3.9</v>
      </c>
      <c r="H84" s="2">
        <f t="shared" si="5"/>
        <v>233</v>
      </c>
      <c r="I84" t="str" cm="1">
        <f t="array" ref="I84">_xlfn.IFS(G84&gt;=4.5,"Excellent",G84&gt;=3,"Average",G84&lt;3,"poor")</f>
        <v>Average</v>
      </c>
      <c r="J84" t="str" cm="1">
        <f t="array" ref="J84">_xlfn.IFS(E84&gt;40%,"High Discount",E84&gt;=20%,"Median Discount",E84&lt;20%,"Low Discount")</f>
        <v>Low Discount</v>
      </c>
    </row>
    <row r="85" spans="1:10" x14ac:dyDescent="0.35">
      <c r="A85">
        <v>1086</v>
      </c>
      <c r="B85" t="s">
        <v>88</v>
      </c>
      <c r="C85" s="8">
        <v>274</v>
      </c>
      <c r="D85" s="8">
        <v>537</v>
      </c>
      <c r="E85" s="4">
        <f t="shared" si="4"/>
        <v>0.48975791433891991</v>
      </c>
      <c r="F85">
        <v>0</v>
      </c>
      <c r="G85">
        <v>3.9</v>
      </c>
      <c r="H85" s="2">
        <f t="shared" si="5"/>
        <v>263</v>
      </c>
      <c r="I85" t="str" cm="1">
        <f t="array" ref="I85">_xlfn.IFS(G85&gt;=4.5,"Excellent",G85&gt;=3,"Average",G85&lt;3,"poor")</f>
        <v>Average</v>
      </c>
      <c r="J85" t="str" cm="1">
        <f t="array" ref="J85">_xlfn.IFS(E85&gt;40%,"High Discount",E85&gt;=20%,"Median Discount",E85&lt;20%,"Low Discount")</f>
        <v>High Discount</v>
      </c>
    </row>
    <row r="86" spans="1:10" x14ac:dyDescent="0.35">
      <c r="A86">
        <v>1087</v>
      </c>
      <c r="B86" t="s">
        <v>89</v>
      </c>
      <c r="C86" s="8">
        <v>799</v>
      </c>
      <c r="D86" s="8">
        <v>900</v>
      </c>
      <c r="E86" s="4">
        <f t="shared" si="4"/>
        <v>0.11222222222222222</v>
      </c>
      <c r="F86">
        <v>0</v>
      </c>
      <c r="G86">
        <v>3.9</v>
      </c>
      <c r="H86" s="2">
        <f t="shared" si="5"/>
        <v>101</v>
      </c>
      <c r="I86" t="str" cm="1">
        <f t="array" ref="I86">_xlfn.IFS(G86&gt;=4.5,"Excellent",G86&gt;=3,"Average",G86&lt;3,"poor")</f>
        <v>Average</v>
      </c>
      <c r="J86" t="str" cm="1">
        <f t="array" ref="J86">_xlfn.IFS(E86&gt;40%,"High Discount",E86&gt;=20%,"Median Discount",E86&lt;20%,"Low Discount")</f>
        <v>Low Discount</v>
      </c>
    </row>
    <row r="87" spans="1:10" x14ac:dyDescent="0.35">
      <c r="A87">
        <v>1089</v>
      </c>
      <c r="B87" t="s">
        <v>90</v>
      </c>
      <c r="C87" s="8">
        <v>1468</v>
      </c>
      <c r="D87" s="8">
        <v>1699</v>
      </c>
      <c r="E87" s="4">
        <f t="shared" si="4"/>
        <v>0.13596233078281342</v>
      </c>
      <c r="F87">
        <v>0</v>
      </c>
      <c r="G87">
        <v>3.9</v>
      </c>
      <c r="H87" s="2">
        <f t="shared" si="5"/>
        <v>231</v>
      </c>
      <c r="I87" t="str" cm="1">
        <f t="array" ref="I87">_xlfn.IFS(G87&gt;=4.5,"Excellent",G87&gt;=3,"Average",G87&lt;3,"poor")</f>
        <v>Average</v>
      </c>
      <c r="J87" t="str" cm="1">
        <f t="array" ref="J87">_xlfn.IFS(E87&gt;40%,"High Discount",E87&gt;=20%,"Median Discount",E87&lt;20%,"Low Discount")</f>
        <v>Low Discount</v>
      </c>
    </row>
    <row r="88" spans="1:10" x14ac:dyDescent="0.35">
      <c r="A88">
        <v>1090</v>
      </c>
      <c r="B88" t="s">
        <v>91</v>
      </c>
      <c r="C88" s="8">
        <v>630</v>
      </c>
      <c r="D88" s="8">
        <v>1100</v>
      </c>
      <c r="E88" s="4">
        <f t="shared" si="4"/>
        <v>0.42727272727272725</v>
      </c>
      <c r="F88">
        <v>0</v>
      </c>
      <c r="G88">
        <v>3.9</v>
      </c>
      <c r="H88" s="2">
        <f t="shared" si="5"/>
        <v>470</v>
      </c>
      <c r="I88" t="str" cm="1">
        <f t="array" ref="I88">_xlfn.IFS(G88&gt;=4.5,"Excellent",G88&gt;=3,"Average",G88&lt;3,"poor")</f>
        <v>Average</v>
      </c>
      <c r="J88" t="str" cm="1">
        <f t="array" ref="J88">_xlfn.IFS(E88&gt;40%,"High Discount",E88&gt;=20%,"Median Discount",E88&lt;20%,"Low Discount")</f>
        <v>High Discount</v>
      </c>
    </row>
    <row r="89" spans="1:10" x14ac:dyDescent="0.35">
      <c r="A89">
        <v>1091</v>
      </c>
      <c r="B89" t="s">
        <v>92</v>
      </c>
      <c r="C89" s="8">
        <v>850</v>
      </c>
      <c r="D89" s="8">
        <v>1700</v>
      </c>
      <c r="E89" s="4">
        <f t="shared" si="4"/>
        <v>0.5</v>
      </c>
      <c r="F89">
        <v>0</v>
      </c>
      <c r="G89">
        <v>3.9</v>
      </c>
      <c r="H89" s="2">
        <f t="shared" si="5"/>
        <v>850</v>
      </c>
      <c r="I89" t="str" cm="1">
        <f t="array" ref="I89">_xlfn.IFS(G89&gt;=4.5,"Excellent",G89&gt;=3,"Average",G89&lt;3,"poor")</f>
        <v>Average</v>
      </c>
      <c r="J89" t="str" cm="1">
        <f t="array" ref="J89">_xlfn.IFS(E89&gt;40%,"High Discount",E89&gt;=20%,"Median Discount",E89&lt;20%,"Low Discount")</f>
        <v>High Discount</v>
      </c>
    </row>
    <row r="90" spans="1:10" x14ac:dyDescent="0.35">
      <c r="A90">
        <v>1092</v>
      </c>
      <c r="B90" t="s">
        <v>93</v>
      </c>
      <c r="C90" s="8">
        <v>1300</v>
      </c>
      <c r="D90" s="8">
        <v>2500</v>
      </c>
      <c r="E90" s="4">
        <f t="shared" si="4"/>
        <v>0.48</v>
      </c>
      <c r="F90">
        <v>0</v>
      </c>
      <c r="G90">
        <v>3.9</v>
      </c>
      <c r="H90" s="2">
        <f t="shared" si="5"/>
        <v>1200</v>
      </c>
      <c r="I90" t="str" cm="1">
        <f t="array" ref="I90">_xlfn.IFS(G90&gt;=4.5,"Excellent",G90&gt;=3,"Average",G90&lt;3,"poor")</f>
        <v>Average</v>
      </c>
      <c r="J90" t="str" cm="1">
        <f t="array" ref="J90">_xlfn.IFS(E90&gt;40%,"High Discount",E90&gt;=20%,"Median Discount",E90&lt;20%,"Low Discount")</f>
        <v>High Discount</v>
      </c>
    </row>
    <row r="91" spans="1:10" x14ac:dyDescent="0.35">
      <c r="A91">
        <v>1093</v>
      </c>
      <c r="B91" t="s">
        <v>94</v>
      </c>
      <c r="C91" s="8">
        <v>105</v>
      </c>
      <c r="D91" s="8">
        <v>200</v>
      </c>
      <c r="E91" s="4">
        <f t="shared" si="4"/>
        <v>0.47499999999999998</v>
      </c>
      <c r="F91">
        <v>0</v>
      </c>
      <c r="G91">
        <v>3.9</v>
      </c>
      <c r="H91" s="2">
        <f t="shared" si="5"/>
        <v>95</v>
      </c>
      <c r="I91" t="str" cm="1">
        <f t="array" ref="I91">_xlfn.IFS(G91&gt;=4.5,"Excellent",G91&gt;=3,"Average",G91&lt;3,"poor")</f>
        <v>Average</v>
      </c>
      <c r="J91" t="str" cm="1">
        <f t="array" ref="J91">_xlfn.IFS(E91&gt;40%,"High Discount",E91&gt;=20%,"Median Discount",E91&lt;20%,"Low Discount")</f>
        <v>High Discount</v>
      </c>
    </row>
    <row r="92" spans="1:10" x14ac:dyDescent="0.35">
      <c r="A92">
        <v>1094</v>
      </c>
      <c r="B92" t="s">
        <v>95</v>
      </c>
      <c r="C92" s="8">
        <v>899</v>
      </c>
      <c r="D92" s="8">
        <v>1699</v>
      </c>
      <c r="E92" s="4">
        <f t="shared" si="4"/>
        <v>0.47086521483225424</v>
      </c>
      <c r="F92">
        <v>0</v>
      </c>
      <c r="G92">
        <v>3.9</v>
      </c>
      <c r="H92" s="2">
        <f t="shared" si="5"/>
        <v>800</v>
      </c>
      <c r="I92" t="str" cm="1">
        <f t="array" ref="I92">_xlfn.IFS(G92&gt;=4.5,"Excellent",G92&gt;=3,"Average",G92&lt;3,"poor")</f>
        <v>Average</v>
      </c>
      <c r="J92" t="str" cm="1">
        <f t="array" ref="J92">_xlfn.IFS(E92&gt;40%,"High Discount",E92&gt;=20%,"Median Discount",E92&lt;20%,"Low Discount")</f>
        <v>High Discount</v>
      </c>
    </row>
    <row r="93" spans="1:10" x14ac:dyDescent="0.35">
      <c r="A93">
        <v>1095</v>
      </c>
      <c r="B93" t="s">
        <v>96</v>
      </c>
      <c r="C93" s="8">
        <v>1200</v>
      </c>
      <c r="D93" s="8">
        <v>2400</v>
      </c>
      <c r="E93" s="4">
        <f t="shared" si="4"/>
        <v>0.5</v>
      </c>
      <c r="F93">
        <v>0</v>
      </c>
      <c r="G93">
        <v>3.9</v>
      </c>
      <c r="H93" s="2">
        <f t="shared" si="5"/>
        <v>1200</v>
      </c>
      <c r="I93" t="str" cm="1">
        <f t="array" ref="I93">_xlfn.IFS(G93&gt;=4.5,"Excellent",G93&gt;=3,"Average",G93&lt;3,"poor")</f>
        <v>Average</v>
      </c>
      <c r="J93" t="str" cm="1">
        <f t="array" ref="J93">_xlfn.IFS(E93&gt;40%,"High Discount",E93&gt;=20%,"Median Discount",E93&lt;20%,"Low Discount")</f>
        <v>High Discount</v>
      </c>
    </row>
    <row r="94" spans="1:10" x14ac:dyDescent="0.35">
      <c r="A94">
        <v>1096</v>
      </c>
      <c r="B94" t="s">
        <v>97</v>
      </c>
      <c r="C94" s="8">
        <v>1526</v>
      </c>
      <c r="D94" s="8">
        <v>1660</v>
      </c>
      <c r="E94" s="4">
        <f t="shared" si="4"/>
        <v>8.0722891566265054E-2</v>
      </c>
      <c r="F94">
        <v>0</v>
      </c>
      <c r="G94">
        <v>3.9</v>
      </c>
      <c r="H94" s="2">
        <f t="shared" si="5"/>
        <v>134</v>
      </c>
      <c r="I94" t="str" cm="1">
        <f t="array" ref="I94">_xlfn.IFS(G94&gt;=4.5,"Excellent",G94&gt;=3,"Average",G94&lt;3,"poor")</f>
        <v>Average</v>
      </c>
      <c r="J94" t="str" cm="1">
        <f t="array" ref="J94">_xlfn.IFS(E94&gt;40%,"High Discount",E94&gt;=20%,"Median Discount",E94&lt;20%,"Low Discount")</f>
        <v>Low Discount</v>
      </c>
    </row>
    <row r="95" spans="1:10" x14ac:dyDescent="0.35">
      <c r="A95">
        <v>1097</v>
      </c>
      <c r="B95" t="s">
        <v>98</v>
      </c>
      <c r="C95" s="8">
        <v>1462</v>
      </c>
      <c r="D95" s="8">
        <v>1499</v>
      </c>
      <c r="E95" s="4">
        <f t="shared" si="4"/>
        <v>2.4683122081387593E-2</v>
      </c>
      <c r="F95">
        <v>0</v>
      </c>
      <c r="G95">
        <v>3.9</v>
      </c>
      <c r="H95" s="2">
        <f t="shared" si="5"/>
        <v>37</v>
      </c>
      <c r="I95" t="str" cm="1">
        <f t="array" ref="I95">_xlfn.IFS(G95&gt;=4.5,"Excellent",G95&gt;=3,"Average",G95&lt;3,"poor")</f>
        <v>Average</v>
      </c>
      <c r="J95" t="str" cm="1">
        <f t="array" ref="J95">_xlfn.IFS(E95&gt;40%,"High Discount",E95&gt;=20%,"Median Discount",E95&lt;20%,"Low Discount")</f>
        <v>Low Discount</v>
      </c>
    </row>
    <row r="96" spans="1:10" x14ac:dyDescent="0.35">
      <c r="A96">
        <v>1098</v>
      </c>
      <c r="B96" t="s">
        <v>99</v>
      </c>
      <c r="C96" s="8">
        <v>248</v>
      </c>
      <c r="D96" s="8">
        <v>486</v>
      </c>
      <c r="E96" s="4">
        <f t="shared" si="4"/>
        <v>0.48971193415637859</v>
      </c>
      <c r="F96">
        <v>0</v>
      </c>
      <c r="G96">
        <v>3.9</v>
      </c>
      <c r="H96" s="2">
        <f t="shared" si="5"/>
        <v>238</v>
      </c>
      <c r="I96" t="str" cm="1">
        <f t="array" ref="I96">_xlfn.IFS(G96&gt;=4.5,"Excellent",G96&gt;=3,"Average",G96&lt;3,"poor")</f>
        <v>Average</v>
      </c>
      <c r="J96" t="str" cm="1">
        <f t="array" ref="J96">_xlfn.IFS(E96&gt;40%,"High Discount",E96&gt;=20%,"Median Discount",E96&lt;20%,"Low Discount")</f>
        <v>High Discount</v>
      </c>
    </row>
    <row r="97" spans="1:10" x14ac:dyDescent="0.35">
      <c r="A97">
        <v>1099</v>
      </c>
      <c r="B97" t="s">
        <v>100</v>
      </c>
      <c r="C97" s="8">
        <v>3546</v>
      </c>
      <c r="D97" s="8">
        <v>3699</v>
      </c>
      <c r="E97" s="4">
        <f t="shared" si="4"/>
        <v>4.1362530413625302E-2</v>
      </c>
      <c r="F97">
        <v>0</v>
      </c>
      <c r="G97">
        <v>3.9</v>
      </c>
      <c r="H97" s="2">
        <f t="shared" si="5"/>
        <v>153</v>
      </c>
      <c r="I97" t="str" cm="1">
        <f t="array" ref="I97">_xlfn.IFS(G97&gt;=4.5,"Excellent",G97&gt;=3,"Average",G97&lt;3,"poor")</f>
        <v>Average</v>
      </c>
      <c r="J97" t="str" cm="1">
        <f t="array" ref="J97">_xlfn.IFS(E97&gt;40%,"High Discount",E97&gt;=20%,"Median Discount",E97&lt;20%,"Low Discount")</f>
        <v>Low Discount</v>
      </c>
    </row>
    <row r="98" spans="1:10" x14ac:dyDescent="0.35">
      <c r="A98">
        <v>1100</v>
      </c>
      <c r="B98" t="s">
        <v>101</v>
      </c>
      <c r="C98" s="8">
        <v>525</v>
      </c>
      <c r="D98" s="8">
        <v>1029</v>
      </c>
      <c r="E98" s="4">
        <f t="shared" ref="E98:E110" si="6">(D98-C98)/D98</f>
        <v>0.48979591836734693</v>
      </c>
      <c r="F98">
        <v>0</v>
      </c>
      <c r="G98">
        <v>3.9</v>
      </c>
      <c r="H98" s="2">
        <f t="shared" ref="H98:H110" si="7">D98-C98</f>
        <v>504</v>
      </c>
      <c r="I98" t="str" cm="1">
        <f t="array" ref="I98">_xlfn.IFS(G98&gt;=4.5,"Excellent",G98&gt;=3,"Average",G98&lt;3,"poor")</f>
        <v>Average</v>
      </c>
      <c r="J98" t="str" cm="1">
        <f t="array" ref="J98">_xlfn.IFS(E98&gt;40%,"High Discount",E98&gt;=20%,"Median Discount",E98&lt;20%,"Low Discount")</f>
        <v>High Discount</v>
      </c>
    </row>
    <row r="99" spans="1:10" x14ac:dyDescent="0.35">
      <c r="A99">
        <v>1101</v>
      </c>
      <c r="B99" t="s">
        <v>102</v>
      </c>
      <c r="C99" s="8">
        <v>1080</v>
      </c>
      <c r="D99" s="8">
        <v>1874</v>
      </c>
      <c r="E99" s="4">
        <f t="shared" si="6"/>
        <v>0.42369263607257202</v>
      </c>
      <c r="F99">
        <v>0</v>
      </c>
      <c r="G99">
        <v>3.9</v>
      </c>
      <c r="H99" s="2">
        <f t="shared" si="7"/>
        <v>794</v>
      </c>
      <c r="I99" t="str" cm="1">
        <f t="array" ref="I99">_xlfn.IFS(G99&gt;=4.5,"Excellent",G99&gt;=3,"Average",G99&lt;3,"poor")</f>
        <v>Average</v>
      </c>
      <c r="J99" t="str" cm="1">
        <f t="array" ref="J99">_xlfn.IFS(E99&gt;40%,"High Discount",E99&gt;=20%,"Median Discount",E99&lt;20%,"Low Discount")</f>
        <v>High Discount</v>
      </c>
    </row>
    <row r="100" spans="1:10" x14ac:dyDescent="0.35">
      <c r="A100">
        <v>1102</v>
      </c>
      <c r="B100" t="s">
        <v>103</v>
      </c>
      <c r="C100" s="8">
        <v>3640</v>
      </c>
      <c r="D100" s="8">
        <v>4588</v>
      </c>
      <c r="E100" s="4">
        <f t="shared" si="6"/>
        <v>0.20662598081952921</v>
      </c>
      <c r="F100">
        <v>1</v>
      </c>
      <c r="G100">
        <v>5</v>
      </c>
      <c r="H100" s="2">
        <f t="shared" si="7"/>
        <v>948</v>
      </c>
      <c r="I100" t="str" cm="1">
        <f t="array" ref="I100">_xlfn.IFS(G100&gt;=4.5,"Excellent",G100&gt;=3,"Average",G100&lt;3,"poor")</f>
        <v>Excellent</v>
      </c>
      <c r="J100" t="str" cm="1">
        <f t="array" ref="J100">_xlfn.IFS(E100&gt;40%,"High Discount",E100&gt;=20%,"Median Discount",E100&lt;20%,"Low Discount")</f>
        <v>Median Discount</v>
      </c>
    </row>
    <row r="101" spans="1:10" x14ac:dyDescent="0.35">
      <c r="A101">
        <v>1103</v>
      </c>
      <c r="B101" t="s">
        <v>104</v>
      </c>
      <c r="C101" s="8">
        <v>1420</v>
      </c>
      <c r="D101" s="8">
        <v>2420</v>
      </c>
      <c r="E101" s="4">
        <f t="shared" si="6"/>
        <v>0.41322314049586778</v>
      </c>
      <c r="F101">
        <v>0</v>
      </c>
      <c r="G101">
        <v>3.9</v>
      </c>
      <c r="H101" s="2">
        <f t="shared" si="7"/>
        <v>1000</v>
      </c>
      <c r="I101" t="str" cm="1">
        <f t="array" ref="I101">_xlfn.IFS(G101&gt;=4.5,"Excellent",G101&gt;=3,"Average",G101&lt;3,"poor")</f>
        <v>Average</v>
      </c>
      <c r="J101" t="str" cm="1">
        <f t="array" ref="J101">_xlfn.IFS(E101&gt;40%,"High Discount",E101&gt;=20%,"Median Discount",E101&lt;20%,"Low Discount")</f>
        <v>High Discount</v>
      </c>
    </row>
    <row r="102" spans="1:10" x14ac:dyDescent="0.35">
      <c r="A102">
        <v>1104</v>
      </c>
      <c r="B102" t="s">
        <v>105</v>
      </c>
      <c r="C102" s="8">
        <v>1875</v>
      </c>
      <c r="D102" s="8">
        <v>1899</v>
      </c>
      <c r="E102" s="4">
        <f t="shared" si="6"/>
        <v>1.2638230647709321E-2</v>
      </c>
      <c r="F102">
        <v>0</v>
      </c>
      <c r="G102">
        <v>3.9</v>
      </c>
      <c r="H102" s="2">
        <f t="shared" si="7"/>
        <v>24</v>
      </c>
      <c r="I102" t="str" cm="1">
        <f t="array" ref="I102">_xlfn.IFS(G102&gt;=4.5,"Excellent",G102&gt;=3,"Average",G102&lt;3,"poor")</f>
        <v>Average</v>
      </c>
      <c r="J102" t="str" cm="1">
        <f t="array" ref="J102">_xlfn.IFS(E102&gt;40%,"High Discount",E102&gt;=20%,"Median Discount",E102&lt;20%,"Low Discount")</f>
        <v>Low Discount</v>
      </c>
    </row>
    <row r="103" spans="1:10" x14ac:dyDescent="0.35">
      <c r="A103">
        <v>1105</v>
      </c>
      <c r="B103" t="s">
        <v>106</v>
      </c>
      <c r="C103" s="8">
        <v>198</v>
      </c>
      <c r="D103" s="8">
        <v>260</v>
      </c>
      <c r="E103" s="4">
        <f t="shared" si="6"/>
        <v>0.23846153846153847</v>
      </c>
      <c r="F103">
        <v>0</v>
      </c>
      <c r="G103">
        <v>3.9</v>
      </c>
      <c r="H103" s="2">
        <f t="shared" si="7"/>
        <v>62</v>
      </c>
      <c r="I103" t="str" cm="1">
        <f t="array" ref="I103">_xlfn.IFS(G103&gt;=4.5,"Excellent",G103&gt;=3,"Average",G103&lt;3,"poor")</f>
        <v>Average</v>
      </c>
      <c r="J103" t="str" cm="1">
        <f t="array" ref="J103">_xlfn.IFS(E103&gt;40%,"High Discount",E103&gt;=20%,"Median Discount",E103&lt;20%,"Low Discount")</f>
        <v>Median Discount</v>
      </c>
    </row>
    <row r="104" spans="1:10" x14ac:dyDescent="0.35">
      <c r="A104">
        <v>1106</v>
      </c>
      <c r="B104" t="s">
        <v>107</v>
      </c>
      <c r="C104" s="8">
        <v>1150</v>
      </c>
      <c r="D104" s="8">
        <v>1737</v>
      </c>
      <c r="E104" s="4">
        <f t="shared" si="6"/>
        <v>0.3379389752446747</v>
      </c>
      <c r="F104">
        <v>0</v>
      </c>
      <c r="G104">
        <v>3.9</v>
      </c>
      <c r="H104" s="2">
        <f t="shared" si="7"/>
        <v>587</v>
      </c>
      <c r="I104" t="str" cm="1">
        <f t="array" ref="I104">_xlfn.IFS(G104&gt;=4.5,"Excellent",G104&gt;=3,"Average",G104&lt;3,"poor")</f>
        <v>Average</v>
      </c>
      <c r="J104" t="str" cm="1">
        <f t="array" ref="J104">_xlfn.IFS(E104&gt;40%,"High Discount",E104&gt;=20%,"Median Discount",E104&lt;20%,"Low Discount")</f>
        <v>Median Discount</v>
      </c>
    </row>
    <row r="105" spans="1:10" x14ac:dyDescent="0.35">
      <c r="A105">
        <v>1107</v>
      </c>
      <c r="B105" t="s">
        <v>108</v>
      </c>
      <c r="C105" s="8">
        <v>1190</v>
      </c>
      <c r="D105" s="8">
        <v>1810</v>
      </c>
      <c r="E105" s="4">
        <f t="shared" si="6"/>
        <v>0.34254143646408841</v>
      </c>
      <c r="F105">
        <v>0</v>
      </c>
      <c r="G105">
        <v>3.9</v>
      </c>
      <c r="H105" s="2">
        <f t="shared" si="7"/>
        <v>620</v>
      </c>
      <c r="I105" t="str" cm="1">
        <f t="array" ref="I105">_xlfn.IFS(G105&gt;=4.5,"Excellent",G105&gt;=3,"Average",G105&lt;3,"poor")</f>
        <v>Average</v>
      </c>
      <c r="J105" t="str" cm="1">
        <f t="array" ref="J105">_xlfn.IFS(E105&gt;40%,"High Discount",E105&gt;=20%,"Median Discount",E105&lt;20%,"Low Discount")</f>
        <v>Median Discount</v>
      </c>
    </row>
    <row r="106" spans="1:10" x14ac:dyDescent="0.35">
      <c r="A106">
        <v>1108</v>
      </c>
      <c r="B106" t="s">
        <v>109</v>
      </c>
      <c r="C106" s="8">
        <v>1658</v>
      </c>
      <c r="D106" s="8">
        <v>1699</v>
      </c>
      <c r="E106" s="4">
        <f t="shared" si="6"/>
        <v>2.4131842260153032E-2</v>
      </c>
      <c r="F106">
        <v>0</v>
      </c>
      <c r="G106">
        <v>3.9</v>
      </c>
      <c r="H106" s="2">
        <f t="shared" si="7"/>
        <v>41</v>
      </c>
      <c r="I106" t="str" cm="1">
        <f t="array" ref="I106">_xlfn.IFS(G106&gt;=4.5,"Excellent",G106&gt;=3,"Average",G106&lt;3,"poor")</f>
        <v>Average</v>
      </c>
      <c r="J106" t="str" cm="1">
        <f t="array" ref="J106">_xlfn.IFS(E106&gt;40%,"High Discount",E106&gt;=20%,"Median Discount",E106&lt;20%,"Low Discount")</f>
        <v>Low Discount</v>
      </c>
    </row>
    <row r="107" spans="1:10" x14ac:dyDescent="0.35">
      <c r="A107">
        <v>1109</v>
      </c>
      <c r="B107" t="s">
        <v>110</v>
      </c>
      <c r="C107" s="8">
        <v>1768</v>
      </c>
      <c r="D107" s="8">
        <v>1799</v>
      </c>
      <c r="E107" s="4">
        <f t="shared" si="6"/>
        <v>1.7231795441912175E-2</v>
      </c>
      <c r="F107">
        <v>0</v>
      </c>
      <c r="G107">
        <v>3.9</v>
      </c>
      <c r="H107" s="2">
        <f t="shared" si="7"/>
        <v>31</v>
      </c>
      <c r="I107" t="str" cm="1">
        <f t="array" ref="I107">_xlfn.IFS(G107&gt;=4.5,"Excellent",G107&gt;=3,"Average",G107&lt;3,"poor")</f>
        <v>Average</v>
      </c>
      <c r="J107" t="str" cm="1">
        <f t="array" ref="J107">_xlfn.IFS(E107&gt;40%,"High Discount",E107&gt;=20%,"Median Discount",E107&lt;20%,"Low Discount")</f>
        <v>Low Discount</v>
      </c>
    </row>
    <row r="108" spans="1:10" x14ac:dyDescent="0.35">
      <c r="A108">
        <v>1110</v>
      </c>
      <c r="B108" t="s">
        <v>111</v>
      </c>
      <c r="C108" s="8">
        <v>199</v>
      </c>
      <c r="D108" s="8">
        <v>553</v>
      </c>
      <c r="E108" s="4">
        <f t="shared" si="6"/>
        <v>0.64014466546112114</v>
      </c>
      <c r="F108">
        <v>0</v>
      </c>
      <c r="G108">
        <v>3.9</v>
      </c>
      <c r="H108" s="2">
        <f t="shared" si="7"/>
        <v>354</v>
      </c>
      <c r="I108" t="str" cm="1">
        <f t="array" ref="I108">_xlfn.IFS(G108&gt;=4.5,"Excellent",G108&gt;=3,"Average",G108&lt;3,"poor")</f>
        <v>Average</v>
      </c>
      <c r="J108" t="str" cm="1">
        <f t="array" ref="J108">_xlfn.IFS(E108&gt;40%,"High Discount",E108&gt;=20%,"Median Discount",E108&lt;20%,"Low Discount")</f>
        <v>High Discount</v>
      </c>
    </row>
    <row r="109" spans="1:10" x14ac:dyDescent="0.35">
      <c r="A109">
        <v>1111</v>
      </c>
      <c r="B109" t="s">
        <v>112</v>
      </c>
      <c r="C109" s="8">
        <v>450</v>
      </c>
      <c r="D109" s="8">
        <v>900</v>
      </c>
      <c r="E109" s="4">
        <f t="shared" si="6"/>
        <v>0.5</v>
      </c>
      <c r="F109">
        <v>1</v>
      </c>
      <c r="G109">
        <v>2</v>
      </c>
      <c r="H109" s="2">
        <f t="shared" si="7"/>
        <v>450</v>
      </c>
      <c r="I109" t="str" cm="1">
        <f t="array" ref="I109">_xlfn.IFS(G109&gt;=4.5,"Excellent",G109&gt;=3,"Average",G109&lt;3,"poor")</f>
        <v>poor</v>
      </c>
      <c r="J109" t="str" cm="1">
        <f t="array" ref="J109">_xlfn.IFS(E109&gt;40%,"High Discount",E109&gt;=20%,"Median Discount",E109&lt;20%,"Low Discount")</f>
        <v>High Discount</v>
      </c>
    </row>
    <row r="110" spans="1:10" x14ac:dyDescent="0.35">
      <c r="A110">
        <v>1112</v>
      </c>
      <c r="B110" t="s">
        <v>113</v>
      </c>
      <c r="C110" s="8">
        <v>169</v>
      </c>
      <c r="D110" s="8">
        <v>320</v>
      </c>
      <c r="E110" s="4">
        <f t="shared" si="6"/>
        <v>0.47187499999999999</v>
      </c>
      <c r="F110">
        <v>0</v>
      </c>
      <c r="G110">
        <v>3.9</v>
      </c>
      <c r="H110" s="2">
        <f t="shared" si="7"/>
        <v>151</v>
      </c>
      <c r="I110" t="str" cm="1">
        <f t="array" ref="I110">_xlfn.IFS(G110&gt;=4.5,"Excellent",G110&gt;=3,"Average",G110&lt;3,"poor")</f>
        <v>Average</v>
      </c>
      <c r="J110" t="str" cm="1">
        <f t="array" ref="J110">_xlfn.IFS(E110&gt;40%,"High Discount",E110&gt;=20%,"Median Discount",E110&lt;20%,"Low Discount")</f>
        <v>High Discount</v>
      </c>
    </row>
    <row r="111" spans="1:10" x14ac:dyDescent="0.35">
      <c r="C111" s="8">
        <f>AVERAGE(C1:C110)</f>
        <v>1208.2568807339449</v>
      </c>
      <c r="D111" s="8">
        <f>AVERAGE(D1:D110)</f>
        <v>1837.7522935779816</v>
      </c>
      <c r="E111" s="4">
        <f>AVERAGE(E1:E110)</f>
        <v>0.36316851960735053</v>
      </c>
      <c r="H111" s="2"/>
    </row>
    <row r="112" spans="1:10" x14ac:dyDescent="0.35">
      <c r="B112" t="s">
        <v>118</v>
      </c>
      <c r="C112" s="8">
        <f>MAX(C1:C110)</f>
        <v>3750</v>
      </c>
      <c r="D112" s="8" t="s">
        <v>71</v>
      </c>
      <c r="H112" s="2"/>
    </row>
    <row r="113" spans="2:8" x14ac:dyDescent="0.35">
      <c r="C113"/>
      <c r="D113"/>
      <c r="E113"/>
    </row>
    <row r="114" spans="2:8" x14ac:dyDescent="0.35">
      <c r="C114"/>
      <c r="D114"/>
      <c r="E114"/>
    </row>
    <row r="115" spans="2:8" x14ac:dyDescent="0.35">
      <c r="C115"/>
      <c r="D115"/>
      <c r="E115"/>
    </row>
    <row r="116" spans="2:8" x14ac:dyDescent="0.35">
      <c r="B116" t="s">
        <v>119</v>
      </c>
      <c r="C116" s="8">
        <f>MIN(C2:C113)</f>
        <v>38</v>
      </c>
      <c r="D116" s="8" t="s">
        <v>25</v>
      </c>
      <c r="H11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rel between discount and review</vt:lpstr>
      <vt:lpstr>discount and rating</vt:lpstr>
      <vt:lpstr>rela betw rating and review</vt:lpstr>
      <vt:lpstr>dicount to product</vt:lpstr>
      <vt:lpstr>product and review</vt:lpstr>
      <vt:lpstr>5 highest rated</vt:lpstr>
      <vt:lpstr>5 lowest rated</vt:lpstr>
      <vt:lpstr>comparison between high ,low di</vt:lpstr>
      <vt:lpstr>Dashboard</vt:lpstr>
      <vt:lpstr>rating and review</vt:lpstr>
      <vt:lpstr>Sheet8</vt:lpstr>
      <vt:lpstr>Sheet10</vt:lpstr>
      <vt:lpstr>Excel_jumia new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Komputa</dc:creator>
  <cp:lastModifiedBy>l k</cp:lastModifiedBy>
  <dcterms:created xsi:type="dcterms:W3CDTF">2026-01-26T10:19:08Z</dcterms:created>
  <dcterms:modified xsi:type="dcterms:W3CDTF">2026-01-29T10:45:06Z</dcterms:modified>
</cp:coreProperties>
</file>